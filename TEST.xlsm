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873B2839-AC87-7CC4-5C0F-16DCB983174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danielmonitto/PycharmProjects/BasketballStats/"/>
    </mc:Choice>
  </mc:AlternateContent>
  <xr:revisionPtr revIDLastSave="0" documentId="13_ncr:1_{8768B07C-769F-9E47-9002-0F1346DD7637}" xr6:coauthVersionLast="47" xr6:coauthVersionMax="47" xr10:uidLastSave="{00000000-0000-0000-0000-000000000000}"/>
  <bookViews>
    <workbookView xWindow="0" yWindow="500" windowWidth="28800" windowHeight="15980" xr2:uid="{818E56FB-E968-45D5-9F78-9DB8EF8FF495}"/>
  </bookViews>
  <sheets>
    <sheet name="GAMES" sheetId="1" r:id="rId1"/>
    <sheet name="TEMPLATE" sheetId="4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333" i="1" l="1"/>
  <c r="M333" i="1"/>
  <c r="N341" i="1"/>
  <c r="M341" i="1"/>
  <c r="N348" i="1"/>
  <c r="M348" i="1"/>
  <c r="N355" i="1"/>
  <c r="M355" i="1"/>
  <c r="N362" i="1"/>
  <c r="M362" i="1"/>
  <c r="N369" i="1"/>
  <c r="M369" i="1"/>
  <c r="N377" i="1"/>
  <c r="M377" i="1"/>
  <c r="N384" i="1"/>
  <c r="M384" i="1"/>
  <c r="N391" i="1"/>
  <c r="M391" i="1"/>
  <c r="N399" i="1"/>
  <c r="M399" i="1"/>
  <c r="N407" i="1"/>
  <c r="M407" i="1"/>
  <c r="N422" i="1"/>
  <c r="M422" i="1"/>
  <c r="N414" i="1"/>
  <c r="M414" i="1"/>
  <c r="AA422" i="1"/>
  <c r="B422" i="1"/>
  <c r="C422" i="1"/>
  <c r="B414" i="1"/>
  <c r="B413" i="1"/>
  <c r="N325" i="1"/>
  <c r="M325" i="1"/>
  <c r="AA410" i="1"/>
  <c r="AA411" i="1" s="1"/>
  <c r="B410" i="1"/>
  <c r="B411" i="1" s="1"/>
  <c r="B412" i="1" s="1"/>
  <c r="A409" i="1"/>
  <c r="A410" i="1" s="1"/>
  <c r="AA402" i="1"/>
  <c r="AA403" i="1" s="1"/>
  <c r="AA404" i="1" s="1"/>
  <c r="B402" i="1"/>
  <c r="B403" i="1" s="1"/>
  <c r="B404" i="1" s="1"/>
  <c r="A401" i="1"/>
  <c r="A402" i="1" s="1"/>
  <c r="AA394" i="1"/>
  <c r="AA395" i="1" s="1"/>
  <c r="AA396" i="1" s="1"/>
  <c r="B394" i="1"/>
  <c r="B395" i="1" s="1"/>
  <c r="A393" i="1"/>
  <c r="A394" i="1" s="1"/>
  <c r="AA387" i="1"/>
  <c r="AA389" i="1" s="1"/>
  <c r="AA390" i="1" s="1"/>
  <c r="B387" i="1"/>
  <c r="B388" i="1" s="1"/>
  <c r="B389" i="1" s="1"/>
  <c r="B390" i="1" s="1"/>
  <c r="B391" i="1" s="1"/>
  <c r="A386" i="1"/>
  <c r="A387" i="1" s="1"/>
  <c r="AA380" i="1"/>
  <c r="AA382" i="1" s="1"/>
  <c r="AA383" i="1" s="1"/>
  <c r="B380" i="1"/>
  <c r="B381" i="1" s="1"/>
  <c r="B382" i="1" s="1"/>
  <c r="B383" i="1" s="1"/>
  <c r="B384" i="1" s="1"/>
  <c r="A379" i="1"/>
  <c r="A380" i="1" s="1"/>
  <c r="AA372" i="1"/>
  <c r="AA374" i="1" s="1"/>
  <c r="AA375" i="1" s="1"/>
  <c r="AA376" i="1" s="1"/>
  <c r="B372" i="1"/>
  <c r="B373" i="1" s="1"/>
  <c r="B374" i="1" s="1"/>
  <c r="B375" i="1" s="1"/>
  <c r="B376" i="1" s="1"/>
  <c r="A371" i="1"/>
  <c r="A372" i="1" s="1"/>
  <c r="AA365" i="1"/>
  <c r="AA367" i="1" s="1"/>
  <c r="B365" i="1"/>
  <c r="B366" i="1" s="1"/>
  <c r="B367" i="1" s="1"/>
  <c r="A364" i="1"/>
  <c r="A365" i="1" s="1"/>
  <c r="A366" i="1" s="1"/>
  <c r="A368" i="1" s="1"/>
  <c r="AA358" i="1"/>
  <c r="AA360" i="1" s="1"/>
  <c r="B358" i="1"/>
  <c r="B359" i="1" s="1"/>
  <c r="B360" i="1" s="1"/>
  <c r="A357" i="1"/>
  <c r="A358" i="1" s="1"/>
  <c r="A359" i="1" s="1"/>
  <c r="A361" i="1" s="1"/>
  <c r="AA417" i="1"/>
  <c r="AA419" i="1" s="1"/>
  <c r="AA420" i="1" s="1"/>
  <c r="AA421" i="1" s="1"/>
  <c r="AA423" i="1" s="1"/>
  <c r="B417" i="1"/>
  <c r="B418" i="1" s="1"/>
  <c r="B419" i="1" s="1"/>
  <c r="B420" i="1" s="1"/>
  <c r="B421" i="1" s="1"/>
  <c r="B423" i="1" s="1"/>
  <c r="A416" i="1"/>
  <c r="A417" i="1" s="1"/>
  <c r="AA351" i="1"/>
  <c r="AA353" i="1" s="1"/>
  <c r="B351" i="1"/>
  <c r="B352" i="1" s="1"/>
  <c r="B353" i="1" s="1"/>
  <c r="B354" i="1" s="1"/>
  <c r="A350" i="1"/>
  <c r="A351" i="1" s="1"/>
  <c r="AA344" i="1"/>
  <c r="AA346" i="1" s="1"/>
  <c r="B344" i="1"/>
  <c r="B345" i="1" s="1"/>
  <c r="B346" i="1" s="1"/>
  <c r="A343" i="1"/>
  <c r="A344" i="1" s="1"/>
  <c r="A345" i="1" s="1"/>
  <c r="AA336" i="1"/>
  <c r="AA338" i="1" s="1"/>
  <c r="AA339" i="1" s="1"/>
  <c r="B336" i="1"/>
  <c r="B337" i="1" s="1"/>
  <c r="B338" i="1" s="1"/>
  <c r="B339" i="1" s="1"/>
  <c r="B340" i="1" s="1"/>
  <c r="A335" i="1"/>
  <c r="A336" i="1" s="1"/>
  <c r="A338" i="1" s="1"/>
  <c r="A339" i="1" s="1"/>
  <c r="B328" i="1"/>
  <c r="B329" i="1" s="1"/>
  <c r="B330" i="1" s="1"/>
  <c r="B331" i="1" s="1"/>
  <c r="B320" i="1"/>
  <c r="B321" i="1" s="1"/>
  <c r="B322" i="1" s="1"/>
  <c r="B323" i="1" s="1"/>
  <c r="B324" i="1" s="1"/>
  <c r="AA328" i="1"/>
  <c r="AA330" i="1" s="1"/>
  <c r="AA331" i="1" s="1"/>
  <c r="A327" i="1"/>
  <c r="A328" i="1" s="1"/>
  <c r="C319" i="1"/>
  <c r="C320" i="1" s="1"/>
  <c r="AA320" i="1"/>
  <c r="AA322" i="1" s="1"/>
  <c r="AA323" i="1" s="1"/>
  <c r="A319" i="1"/>
  <c r="A320" i="1" s="1"/>
  <c r="A303" i="1"/>
  <c r="A304" i="1" s="1"/>
  <c r="A305" i="1" s="1"/>
  <c r="A306" i="1" s="1"/>
  <c r="A307" i="1" s="1"/>
  <c r="A308" i="1" s="1"/>
  <c r="B304" i="1"/>
  <c r="AA304" i="1"/>
  <c r="AA305" i="1" s="1"/>
  <c r="AA306" i="1" s="1"/>
  <c r="AA307" i="1" s="1"/>
  <c r="AA308" i="1" s="1"/>
  <c r="AA309" i="1" s="1"/>
  <c r="B306" i="1"/>
  <c r="B308" i="1"/>
  <c r="B309" i="1" s="1"/>
  <c r="A310" i="1"/>
  <c r="A311" i="1" s="1"/>
  <c r="AA311" i="1"/>
  <c r="AA312" i="1" s="1"/>
  <c r="B312" i="1"/>
  <c r="I312" i="1"/>
  <c r="J312" i="1"/>
  <c r="O312" i="1"/>
  <c r="P312" i="1"/>
  <c r="V312" i="1"/>
  <c r="W312" i="1"/>
  <c r="X312" i="1"/>
  <c r="Y312" i="1"/>
  <c r="B315" i="1"/>
  <c r="B317" i="1"/>
  <c r="B318" i="1" s="1"/>
  <c r="Y297" i="1"/>
  <c r="X297" i="1"/>
  <c r="W297" i="1"/>
  <c r="V297" i="1"/>
  <c r="P297" i="1"/>
  <c r="O297" i="1"/>
  <c r="J297" i="1"/>
  <c r="I297" i="1"/>
  <c r="B298" i="1"/>
  <c r="B299" i="1" s="1"/>
  <c r="Y290" i="1"/>
  <c r="X290" i="1"/>
  <c r="W290" i="1"/>
  <c r="V290" i="1"/>
  <c r="P290" i="1"/>
  <c r="O290" i="1"/>
  <c r="J290" i="1"/>
  <c r="I290" i="1"/>
  <c r="B292" i="1"/>
  <c r="AA283" i="1"/>
  <c r="AA284" i="1" s="1"/>
  <c r="AA285" i="1" s="1"/>
  <c r="AA286" i="1" s="1"/>
  <c r="AA287" i="1" s="1"/>
  <c r="AA288" i="1" s="1"/>
  <c r="Y283" i="1"/>
  <c r="X283" i="1"/>
  <c r="W283" i="1"/>
  <c r="V283" i="1"/>
  <c r="P283" i="1"/>
  <c r="O283" i="1"/>
  <c r="J283" i="1"/>
  <c r="I283" i="1"/>
  <c r="B278" i="1"/>
  <c r="Y276" i="1"/>
  <c r="X276" i="1"/>
  <c r="W276" i="1"/>
  <c r="V276" i="1"/>
  <c r="P276" i="1"/>
  <c r="O276" i="1"/>
  <c r="J276" i="1"/>
  <c r="I276" i="1"/>
  <c r="Y270" i="1"/>
  <c r="X270" i="1"/>
  <c r="W270" i="1"/>
  <c r="V270" i="1"/>
  <c r="P270" i="1"/>
  <c r="O270" i="1"/>
  <c r="J270" i="1"/>
  <c r="I270" i="1"/>
  <c r="Y263" i="1"/>
  <c r="X263" i="1"/>
  <c r="W263" i="1"/>
  <c r="V263" i="1"/>
  <c r="P263" i="1"/>
  <c r="O263" i="1"/>
  <c r="J263" i="1"/>
  <c r="I263" i="1"/>
  <c r="Y256" i="1"/>
  <c r="X256" i="1"/>
  <c r="W256" i="1"/>
  <c r="V256" i="1"/>
  <c r="P256" i="1"/>
  <c r="O256" i="1"/>
  <c r="J256" i="1"/>
  <c r="I256" i="1"/>
  <c r="AA246" i="1"/>
  <c r="AA247" i="1" s="1"/>
  <c r="AA248" i="1" s="1"/>
  <c r="AA249" i="1" s="1"/>
  <c r="AA250" i="1" s="1"/>
  <c r="AA251" i="1" s="1"/>
  <c r="Y239" i="1"/>
  <c r="X239" i="1"/>
  <c r="W239" i="1"/>
  <c r="V239" i="1"/>
  <c r="P239" i="1"/>
  <c r="O239" i="1"/>
  <c r="J239" i="1"/>
  <c r="I239" i="1"/>
  <c r="AA232" i="1"/>
  <c r="AA233" i="1" s="1"/>
  <c r="AA234" i="1" s="1"/>
  <c r="AA235" i="1" s="1"/>
  <c r="AA236" i="1" s="1"/>
  <c r="AA237" i="1" s="1"/>
  <c r="AA225" i="1"/>
  <c r="AA226" i="1" s="1"/>
  <c r="AA227" i="1" s="1"/>
  <c r="AA228" i="1" s="1"/>
  <c r="AA229" i="1" s="1"/>
  <c r="AA230" i="1" s="1"/>
  <c r="Y217" i="1"/>
  <c r="X217" i="1"/>
  <c r="W217" i="1"/>
  <c r="V217" i="1"/>
  <c r="P217" i="1"/>
  <c r="O217" i="1"/>
  <c r="J217" i="1"/>
  <c r="I217" i="1"/>
  <c r="D223" i="1"/>
  <c r="A216" i="1" s="1"/>
  <c r="A217" i="1" s="1"/>
  <c r="A218" i="1" s="1"/>
  <c r="A219" i="1" s="1"/>
  <c r="A220" i="1" s="1"/>
  <c r="A221" i="1" s="1"/>
  <c r="A222" i="1" s="1"/>
  <c r="Y209" i="1"/>
  <c r="X209" i="1"/>
  <c r="W209" i="1"/>
  <c r="V209" i="1"/>
  <c r="O209" i="1"/>
  <c r="J209" i="1"/>
  <c r="I209" i="1"/>
  <c r="AA209" i="1"/>
  <c r="AA210" i="1" s="1"/>
  <c r="AA211" i="1" s="1"/>
  <c r="AA212" i="1" s="1"/>
  <c r="AA213" i="1" s="1"/>
  <c r="AA214" i="1" s="1"/>
  <c r="AA215" i="1" s="1"/>
  <c r="B204" i="1"/>
  <c r="Y205" i="1"/>
  <c r="X205" i="1"/>
  <c r="W205" i="1"/>
  <c r="V205" i="1"/>
  <c r="P205" i="1"/>
  <c r="O205" i="1"/>
  <c r="J205" i="1"/>
  <c r="I205" i="1"/>
  <c r="Y202" i="1"/>
  <c r="X202" i="1"/>
  <c r="W202" i="1"/>
  <c r="V202" i="1"/>
  <c r="P202" i="1"/>
  <c r="O202" i="1"/>
  <c r="J202" i="1"/>
  <c r="I202" i="1"/>
  <c r="B301" i="1"/>
  <c r="B302" i="1" s="1"/>
  <c r="AA297" i="1"/>
  <c r="A296" i="1"/>
  <c r="A297" i="1" s="1"/>
  <c r="A298" i="1" s="1"/>
  <c r="B294" i="1"/>
  <c r="B295" i="1" s="1"/>
  <c r="AA290" i="1"/>
  <c r="AA291" i="1" s="1"/>
  <c r="A289" i="1"/>
  <c r="A290" i="1" s="1"/>
  <c r="A291" i="1" s="1"/>
  <c r="B287" i="1"/>
  <c r="B288" i="1" s="1"/>
  <c r="B285" i="1"/>
  <c r="A282" i="1"/>
  <c r="B280" i="1"/>
  <c r="B281" i="1" s="1"/>
  <c r="AA276" i="1"/>
  <c r="AA277" i="1" s="1"/>
  <c r="A275" i="1"/>
  <c r="A276" i="1" s="1"/>
  <c r="A277" i="1" s="1"/>
  <c r="B273" i="1"/>
  <c r="B274" i="1" s="1"/>
  <c r="B271" i="1"/>
  <c r="AA268" i="1"/>
  <c r="AA269" i="1" s="1"/>
  <c r="AA270" i="1" s="1"/>
  <c r="AA271" i="1" s="1"/>
  <c r="AA272" i="1" s="1"/>
  <c r="AA273" i="1" s="1"/>
  <c r="AA274" i="1" s="1"/>
  <c r="A267" i="1"/>
  <c r="A268" i="1" s="1"/>
  <c r="A269" i="1" s="1"/>
  <c r="A270" i="1" s="1"/>
  <c r="A271" i="1" s="1"/>
  <c r="A272" i="1" s="1"/>
  <c r="A273" i="1" s="1"/>
  <c r="B265" i="1"/>
  <c r="B266" i="1" s="1"/>
  <c r="AA261" i="1"/>
  <c r="AA262" i="1" s="1"/>
  <c r="AA263" i="1" s="1"/>
  <c r="A260" i="1"/>
  <c r="A261" i="1" s="1"/>
  <c r="A262" i="1" s="1"/>
  <c r="A263" i="1" s="1"/>
  <c r="B258" i="1"/>
  <c r="B259" i="1" s="1"/>
  <c r="B256" i="1"/>
  <c r="AA253" i="1"/>
  <c r="AA254" i="1" s="1"/>
  <c r="AA255" i="1" s="1"/>
  <c r="AA256" i="1" s="1"/>
  <c r="AA257" i="1" s="1"/>
  <c r="AA258" i="1" s="1"/>
  <c r="AA259" i="1" s="1"/>
  <c r="A252" i="1"/>
  <c r="A253" i="1" s="1"/>
  <c r="A254" i="1" s="1"/>
  <c r="A255" i="1" s="1"/>
  <c r="A256" i="1" s="1"/>
  <c r="A257" i="1" s="1"/>
  <c r="A258" i="1" s="1"/>
  <c r="B250" i="1"/>
  <c r="B251" i="1" s="1"/>
  <c r="B248" i="1"/>
  <c r="A245" i="1"/>
  <c r="B242" i="1"/>
  <c r="B243" i="1" s="1"/>
  <c r="B244" i="1" s="1"/>
  <c r="AA239" i="1"/>
  <c r="AA240" i="1" s="1"/>
  <c r="AA241" i="1" s="1"/>
  <c r="AA242" i="1" s="1"/>
  <c r="A238" i="1"/>
  <c r="A239" i="1" s="1"/>
  <c r="A240" i="1" s="1"/>
  <c r="A241" i="1" s="1"/>
  <c r="A242" i="1" s="1"/>
  <c r="A243" i="1" s="1"/>
  <c r="B236" i="1"/>
  <c r="B237" i="1" s="1"/>
  <c r="B234" i="1"/>
  <c r="A231" i="1"/>
  <c r="B229" i="1"/>
  <c r="B230" i="1" s="1"/>
  <c r="B227" i="1"/>
  <c r="A224" i="1"/>
  <c r="B222" i="1"/>
  <c r="B223" i="1" s="1"/>
  <c r="B220" i="1"/>
  <c r="AA217" i="1"/>
  <c r="AA218" i="1" s="1"/>
  <c r="AA219" i="1" s="1"/>
  <c r="AA220" i="1" s="1"/>
  <c r="AA221" i="1" s="1"/>
  <c r="AA222" i="1" s="1"/>
  <c r="AA223" i="1" s="1"/>
  <c r="B214" i="1"/>
  <c r="B215" i="1" s="1"/>
  <c r="B212" i="1"/>
  <c r="A208" i="1"/>
  <c r="B206" i="1"/>
  <c r="B207" i="1" s="1"/>
  <c r="AA202" i="1"/>
  <c r="AA203" i="1" s="1"/>
  <c r="A201" i="1"/>
  <c r="A202" i="1" s="1"/>
  <c r="A203" i="1" s="1"/>
  <c r="C194" i="1"/>
  <c r="C195" i="1" s="1"/>
  <c r="C196" i="1" s="1"/>
  <c r="C197" i="1" s="1"/>
  <c r="C198" i="1" s="1"/>
  <c r="B198" i="1"/>
  <c r="B199" i="1" s="1"/>
  <c r="B200" i="1" s="1"/>
  <c r="AA195" i="1"/>
  <c r="AA196" i="1" s="1"/>
  <c r="AA197" i="1" s="1"/>
  <c r="AA198" i="1" s="1"/>
  <c r="A194" i="1"/>
  <c r="A195" i="1" s="1"/>
  <c r="A196" i="1" s="1"/>
  <c r="A197" i="1" s="1"/>
  <c r="A198" i="1" s="1"/>
  <c r="A199" i="1" s="1"/>
  <c r="A187" i="1"/>
  <c r="A188" i="1" s="1"/>
  <c r="B191" i="1"/>
  <c r="B192" i="1" s="1"/>
  <c r="B193" i="1" s="1"/>
  <c r="C188" i="1"/>
  <c r="C189" i="1" s="1"/>
  <c r="C190" i="1" s="1"/>
  <c r="AA188" i="1"/>
  <c r="AA189" i="1" s="1"/>
  <c r="AA190" i="1" s="1"/>
  <c r="AA191" i="1" s="1"/>
  <c r="AA192" i="1" s="1"/>
  <c r="B415" i="1" l="1"/>
  <c r="B405" i="1"/>
  <c r="B406" i="1" s="1"/>
  <c r="B407" i="1" s="1"/>
  <c r="B408" i="1" s="1"/>
  <c r="B396" i="1"/>
  <c r="B397" i="1" s="1"/>
  <c r="B398" i="1" s="1"/>
  <c r="B399" i="1" s="1"/>
  <c r="B400" i="1" s="1"/>
  <c r="B392" i="1"/>
  <c r="AA391" i="1"/>
  <c r="AA392" i="1" s="1"/>
  <c r="B385" i="1"/>
  <c r="AA384" i="1"/>
  <c r="AA385" i="1" s="1"/>
  <c r="B377" i="1"/>
  <c r="B378" i="1" s="1"/>
  <c r="AA377" i="1"/>
  <c r="AA378" i="1" s="1"/>
  <c r="B368" i="1"/>
  <c r="B369" i="1" s="1"/>
  <c r="B370" i="1" s="1"/>
  <c r="AA368" i="1"/>
  <c r="AA369" i="1" s="1"/>
  <c r="AA370" i="1" s="1"/>
  <c r="B361" i="1"/>
  <c r="B362" i="1" s="1"/>
  <c r="B363" i="1" s="1"/>
  <c r="B355" i="1"/>
  <c r="B356" i="1" s="1"/>
  <c r="B347" i="1"/>
  <c r="B348" i="1" s="1"/>
  <c r="B349" i="1" s="1"/>
  <c r="C327" i="1"/>
  <c r="C328" i="1" s="1"/>
  <c r="C329" i="1" s="1"/>
  <c r="AA347" i="1"/>
  <c r="AA348" i="1" s="1"/>
  <c r="AA349" i="1" s="1"/>
  <c r="AA388" i="1"/>
  <c r="A340" i="1"/>
  <c r="A341" i="1" s="1"/>
  <c r="B341" i="1"/>
  <c r="B342" i="1" s="1"/>
  <c r="AA340" i="1"/>
  <c r="AA341" i="1" s="1"/>
  <c r="AA342" i="1" s="1"/>
  <c r="B332" i="1"/>
  <c r="B333" i="1" s="1"/>
  <c r="B334" i="1" s="1"/>
  <c r="AA332" i="1"/>
  <c r="AA333" i="1" s="1"/>
  <c r="AA334" i="1" s="1"/>
  <c r="B325" i="1"/>
  <c r="B326" i="1" s="1"/>
  <c r="AA324" i="1"/>
  <c r="AA325" i="1" s="1"/>
  <c r="AA326" i="1" s="1"/>
  <c r="AA373" i="1"/>
  <c r="AA366" i="1"/>
  <c r="AA381" i="1"/>
  <c r="AA412" i="1"/>
  <c r="A403" i="1"/>
  <c r="A404" i="1" s="1"/>
  <c r="A405" i="1" s="1"/>
  <c r="A406" i="1" s="1"/>
  <c r="A407" i="1" s="1"/>
  <c r="A382" i="1"/>
  <c r="A383" i="1" s="1"/>
  <c r="A384" i="1" s="1"/>
  <c r="A381" i="1"/>
  <c r="A374" i="1"/>
  <c r="A375" i="1" s="1"/>
  <c r="A376" i="1" s="1"/>
  <c r="A377" i="1" s="1"/>
  <c r="A373" i="1"/>
  <c r="A389" i="1"/>
  <c r="A390" i="1" s="1"/>
  <c r="A391" i="1" s="1"/>
  <c r="A388" i="1"/>
  <c r="A395" i="1"/>
  <c r="A396" i="1" s="1"/>
  <c r="A397" i="1" s="1"/>
  <c r="A398" i="1" s="1"/>
  <c r="A399" i="1" s="1"/>
  <c r="A411" i="1"/>
  <c r="A413" i="1" s="1"/>
  <c r="A412" i="1"/>
  <c r="A414" i="1" s="1"/>
  <c r="AA397" i="1"/>
  <c r="AA398" i="1" s="1"/>
  <c r="AA399" i="1" s="1"/>
  <c r="AA400" i="1" s="1"/>
  <c r="AA359" i="1"/>
  <c r="AA361" i="1" s="1"/>
  <c r="AA362" i="1" s="1"/>
  <c r="AA363" i="1" s="1"/>
  <c r="A360" i="1"/>
  <c r="A362" i="1" s="1"/>
  <c r="A367" i="1"/>
  <c r="A369" i="1" s="1"/>
  <c r="AA405" i="1"/>
  <c r="AA406" i="1" s="1"/>
  <c r="AA407" i="1" s="1"/>
  <c r="AA408" i="1" s="1"/>
  <c r="AA345" i="1"/>
  <c r="A418" i="1"/>
  <c r="A419" i="1"/>
  <c r="A420" i="1" s="1"/>
  <c r="A421" i="1" s="1"/>
  <c r="A422" i="1" s="1"/>
  <c r="AA418" i="1"/>
  <c r="A352" i="1"/>
  <c r="A354" i="1" s="1"/>
  <c r="A353" i="1"/>
  <c r="AA352" i="1"/>
  <c r="AA354" i="1" s="1"/>
  <c r="AA355" i="1" s="1"/>
  <c r="AA356" i="1" s="1"/>
  <c r="A346" i="1"/>
  <c r="AA337" i="1"/>
  <c r="A337" i="1"/>
  <c r="A330" i="1"/>
  <c r="A331" i="1" s="1"/>
  <c r="A329" i="1"/>
  <c r="AA329" i="1"/>
  <c r="AA321" i="1"/>
  <c r="C322" i="1"/>
  <c r="C323" i="1" s="1"/>
  <c r="C321" i="1"/>
  <c r="A322" i="1"/>
  <c r="A323" i="1" s="1"/>
  <c r="A321" i="1"/>
  <c r="AA313" i="1"/>
  <c r="AA314" i="1" s="1"/>
  <c r="AA315" i="1" s="1"/>
  <c r="AA316" i="1" s="1"/>
  <c r="AA317" i="1" s="1"/>
  <c r="AA318" i="1" s="1"/>
  <c r="Z312" i="1"/>
  <c r="A313" i="1"/>
  <c r="A314" i="1" s="1"/>
  <c r="A315" i="1" s="1"/>
  <c r="A316" i="1" s="1"/>
  <c r="A317" i="1" s="1"/>
  <c r="A312" i="1"/>
  <c r="Z290" i="1"/>
  <c r="Z297" i="1"/>
  <c r="AA298" i="1"/>
  <c r="AA299" i="1" s="1"/>
  <c r="AA300" i="1" s="1"/>
  <c r="AA301" i="1" s="1"/>
  <c r="AA302" i="1" s="1"/>
  <c r="A299" i="1"/>
  <c r="A300" i="1" s="1"/>
  <c r="A301" i="1" s="1"/>
  <c r="Z283" i="1"/>
  <c r="AA292" i="1"/>
  <c r="AA293" i="1" s="1"/>
  <c r="AA294" i="1" s="1"/>
  <c r="AA295" i="1" s="1"/>
  <c r="A292" i="1"/>
  <c r="A293" i="1" s="1"/>
  <c r="A294" i="1" s="1"/>
  <c r="A283" i="1"/>
  <c r="A284" i="1" s="1"/>
  <c r="A285" i="1" s="1"/>
  <c r="A286" i="1" s="1"/>
  <c r="A287" i="1" s="1"/>
  <c r="AA278" i="1"/>
  <c r="AA279" i="1" s="1"/>
  <c r="AA280" i="1" s="1"/>
  <c r="AA281" i="1" s="1"/>
  <c r="Z276" i="1"/>
  <c r="A278" i="1"/>
  <c r="A279" i="1" s="1"/>
  <c r="A280" i="1" s="1"/>
  <c r="Z263" i="1"/>
  <c r="Z270" i="1"/>
  <c r="AA264" i="1"/>
  <c r="AA265" i="1" s="1"/>
  <c r="AA266" i="1" s="1"/>
  <c r="Z256" i="1"/>
  <c r="A264" i="1"/>
  <c r="A265" i="1" s="1"/>
  <c r="A246" i="1"/>
  <c r="A247" i="1" s="1"/>
  <c r="A248" i="1" s="1"/>
  <c r="A249" i="1" s="1"/>
  <c r="A250" i="1" s="1"/>
  <c r="Z209" i="1"/>
  <c r="AA243" i="1"/>
  <c r="AA244" i="1" s="1"/>
  <c r="A232" i="1"/>
  <c r="A233" i="1" s="1"/>
  <c r="A234" i="1" s="1"/>
  <c r="A235" i="1" s="1"/>
  <c r="A236" i="1" s="1"/>
  <c r="Z239" i="1"/>
  <c r="A225" i="1"/>
  <c r="A226" i="1" s="1"/>
  <c r="A227" i="1" s="1"/>
  <c r="A228" i="1" s="1"/>
  <c r="A229" i="1" s="1"/>
  <c r="Z217" i="1"/>
  <c r="A209" i="1"/>
  <c r="A210" i="1" s="1"/>
  <c r="A211" i="1" s="1"/>
  <c r="A212" i="1" s="1"/>
  <c r="A213" i="1" s="1"/>
  <c r="A214" i="1" s="1"/>
  <c r="A204" i="1"/>
  <c r="A205" i="1" s="1"/>
  <c r="A206" i="1" s="1"/>
  <c r="AA199" i="1"/>
  <c r="AA200" i="1" s="1"/>
  <c r="AA204" i="1"/>
  <c r="AA205" i="1" s="1"/>
  <c r="AA206" i="1" s="1"/>
  <c r="AA207" i="1" s="1"/>
  <c r="Z202" i="1"/>
  <c r="Z205" i="1"/>
  <c r="C199" i="1"/>
  <c r="C200" i="1" s="1"/>
  <c r="AA193" i="1"/>
  <c r="C201" i="1"/>
  <c r="C191" i="1"/>
  <c r="A189" i="1"/>
  <c r="A190" i="1" s="1"/>
  <c r="AA413" i="1" l="1"/>
  <c r="AA414" i="1" s="1"/>
  <c r="AA415" i="1" s="1"/>
  <c r="C330" i="1"/>
  <c r="C331" i="1" s="1"/>
  <c r="C332" i="1" s="1"/>
  <c r="C333" i="1" s="1"/>
  <c r="C334" i="1" s="1"/>
  <c r="C335" i="1"/>
  <c r="C336" i="1" s="1"/>
  <c r="C338" i="1" s="1"/>
  <c r="C339" i="1" s="1"/>
  <c r="A355" i="1"/>
  <c r="A347" i="1"/>
  <c r="A348" i="1" s="1"/>
  <c r="C340" i="1"/>
  <c r="C341" i="1" s="1"/>
  <c r="C342" i="1" s="1"/>
  <c r="C337" i="1"/>
  <c r="A332" i="1"/>
  <c r="A333" i="1" s="1"/>
  <c r="C324" i="1"/>
  <c r="C325" i="1" s="1"/>
  <c r="C326" i="1" s="1"/>
  <c r="A324" i="1"/>
  <c r="A325" i="1" s="1"/>
  <c r="C192" i="1"/>
  <c r="C193" i="1" s="1"/>
  <c r="C202" i="1"/>
  <c r="C203" i="1" s="1"/>
  <c r="C208" i="1"/>
  <c r="C209" i="1" s="1"/>
  <c r="C210" i="1" s="1"/>
  <c r="A191" i="1"/>
  <c r="A192" i="1" s="1"/>
  <c r="C343" i="1" l="1"/>
  <c r="C344" i="1" s="1"/>
  <c r="C350" i="1"/>
  <c r="C357" i="1" s="1"/>
  <c r="C358" i="1" s="1"/>
  <c r="C346" i="1"/>
  <c r="C345" i="1"/>
  <c r="C204" i="1"/>
  <c r="C205" i="1" s="1"/>
  <c r="C206" i="1" s="1"/>
  <c r="C207" i="1" s="1"/>
  <c r="C211" i="1"/>
  <c r="C212" i="1" s="1"/>
  <c r="C213" i="1" s="1"/>
  <c r="C214" i="1" s="1"/>
  <c r="C215" i="1" s="1"/>
  <c r="C216" i="1"/>
  <c r="Z36" i="4"/>
  <c r="Y36" i="4"/>
  <c r="X36" i="4"/>
  <c r="W36" i="4"/>
  <c r="V36" i="4"/>
  <c r="Z35" i="4"/>
  <c r="Y35" i="4"/>
  <c r="X35" i="4"/>
  <c r="W35" i="4"/>
  <c r="V35" i="4"/>
  <c r="AA34" i="4"/>
  <c r="AA35" i="4" s="1"/>
  <c r="AA36" i="4" s="1"/>
  <c r="AA37" i="4" s="1"/>
  <c r="Z34" i="4"/>
  <c r="Y34" i="4"/>
  <c r="X34" i="4"/>
  <c r="W34" i="4"/>
  <c r="V34" i="4"/>
  <c r="AA33" i="4"/>
  <c r="Z33" i="4"/>
  <c r="Y33" i="4"/>
  <c r="X33" i="4"/>
  <c r="W33" i="4"/>
  <c r="V33" i="4"/>
  <c r="AA32" i="4"/>
  <c r="Z32" i="4"/>
  <c r="Y32" i="4"/>
  <c r="X32" i="4"/>
  <c r="W32" i="4"/>
  <c r="V32" i="4"/>
  <c r="C32" i="4"/>
  <c r="C33" i="4" s="1"/>
  <c r="C34" i="4" s="1"/>
  <c r="C35" i="4" s="1"/>
  <c r="C36" i="4" s="1"/>
  <c r="C37" i="4" s="1"/>
  <c r="B32" i="4"/>
  <c r="B33" i="4" s="1"/>
  <c r="B34" i="4" s="1"/>
  <c r="B35" i="4" s="1"/>
  <c r="B36" i="4" s="1"/>
  <c r="B37" i="4" s="1"/>
  <c r="A32" i="4"/>
  <c r="A33" i="4" s="1"/>
  <c r="A34" i="4" s="1"/>
  <c r="A35" i="4" s="1"/>
  <c r="A36" i="4" s="1"/>
  <c r="A37" i="4" s="1"/>
  <c r="Z31" i="4"/>
  <c r="Y31" i="4"/>
  <c r="X31" i="4"/>
  <c r="W31" i="4"/>
  <c r="V31" i="4"/>
  <c r="Z7" i="4"/>
  <c r="Y7" i="4"/>
  <c r="X7" i="4"/>
  <c r="W7" i="4"/>
  <c r="V7" i="4"/>
  <c r="Z6" i="4"/>
  <c r="Y6" i="4"/>
  <c r="X6" i="4"/>
  <c r="W6" i="4"/>
  <c r="V6" i="4"/>
  <c r="AA5" i="4"/>
  <c r="AA6" i="4" s="1"/>
  <c r="AA7" i="4" s="1"/>
  <c r="AA8" i="4" s="1"/>
  <c r="Z5" i="4"/>
  <c r="Y5" i="4"/>
  <c r="X5" i="4"/>
  <c r="W5" i="4"/>
  <c r="V5" i="4"/>
  <c r="AA4" i="4"/>
  <c r="Z4" i="4"/>
  <c r="Y4" i="4"/>
  <c r="X4" i="4"/>
  <c r="W4" i="4"/>
  <c r="V4" i="4"/>
  <c r="AA3" i="4"/>
  <c r="Z3" i="4"/>
  <c r="Y3" i="4"/>
  <c r="X3" i="4"/>
  <c r="W3" i="4"/>
  <c r="V3" i="4"/>
  <c r="C3" i="4"/>
  <c r="C4" i="4" s="1"/>
  <c r="C5" i="4" s="1"/>
  <c r="C6" i="4" s="1"/>
  <c r="C7" i="4" s="1"/>
  <c r="C8" i="4" s="1"/>
  <c r="B3" i="4"/>
  <c r="B4" i="4" s="1"/>
  <c r="B5" i="4" s="1"/>
  <c r="B6" i="4" s="1"/>
  <c r="B7" i="4" s="1"/>
  <c r="B8" i="4" s="1"/>
  <c r="A3" i="4"/>
  <c r="A4" i="4" s="1"/>
  <c r="A5" i="4" s="1"/>
  <c r="A6" i="4" s="1"/>
  <c r="A7" i="4" s="1"/>
  <c r="A8" i="4" s="1"/>
  <c r="Z2" i="4"/>
  <c r="Y2" i="4"/>
  <c r="X2" i="4"/>
  <c r="W2" i="4"/>
  <c r="V2" i="4"/>
  <c r="AA108" i="1"/>
  <c r="AA123" i="1"/>
  <c r="B123" i="1"/>
  <c r="A108" i="1"/>
  <c r="F114" i="1"/>
  <c r="G114" i="1"/>
  <c r="H114" i="1"/>
  <c r="I114" i="1"/>
  <c r="J114" i="1"/>
  <c r="K114" i="1"/>
  <c r="L114" i="1"/>
  <c r="M114" i="1"/>
  <c r="N114" i="1"/>
  <c r="O114" i="1"/>
  <c r="P114" i="1"/>
  <c r="Q114" i="1"/>
  <c r="R114" i="1"/>
  <c r="S114" i="1"/>
  <c r="T114" i="1"/>
  <c r="U114" i="1"/>
  <c r="E114" i="1"/>
  <c r="Z114" i="1"/>
  <c r="A101" i="1"/>
  <c r="A102" i="1" s="1"/>
  <c r="A103" i="1" s="1"/>
  <c r="A104" i="1" s="1"/>
  <c r="A105" i="1" s="1"/>
  <c r="A106" i="1" s="1"/>
  <c r="A109" i="1"/>
  <c r="A110" i="1" s="1"/>
  <c r="A111" i="1" s="1"/>
  <c r="A112" i="1" s="1"/>
  <c r="A113" i="1" s="1"/>
  <c r="A114" i="1" s="1"/>
  <c r="AA181" i="1"/>
  <c r="AA182" i="1" s="1"/>
  <c r="AA183" i="1" s="1"/>
  <c r="AA184" i="1" s="1"/>
  <c r="AA185" i="1" s="1"/>
  <c r="AA186" i="1" s="1"/>
  <c r="A181" i="1"/>
  <c r="A180" i="1" s="1"/>
  <c r="AA174" i="1"/>
  <c r="AA175" i="1" s="1"/>
  <c r="AA176" i="1" s="1"/>
  <c r="AA177" i="1" s="1"/>
  <c r="AA178" i="1" s="1"/>
  <c r="AA179" i="1" s="1"/>
  <c r="A174" i="1"/>
  <c r="A175" i="1" s="1"/>
  <c r="A176" i="1" s="1"/>
  <c r="A177" i="1" s="1"/>
  <c r="A178" i="1" s="1"/>
  <c r="AA167" i="1"/>
  <c r="AA168" i="1" s="1"/>
  <c r="AA169" i="1" s="1"/>
  <c r="AA170" i="1" s="1"/>
  <c r="AA171" i="1" s="1"/>
  <c r="AA172" i="1" s="1"/>
  <c r="A167" i="1"/>
  <c r="A168" i="1" s="1"/>
  <c r="A169" i="1" s="1"/>
  <c r="A170" i="1" s="1"/>
  <c r="A171" i="1" s="1"/>
  <c r="AA160" i="1"/>
  <c r="AA161" i="1" s="1"/>
  <c r="AA162" i="1" s="1"/>
  <c r="AA163" i="1" s="1"/>
  <c r="AA164" i="1" s="1"/>
  <c r="AA165" i="1" s="1"/>
  <c r="A160" i="1"/>
  <c r="A161" i="1" s="1"/>
  <c r="A162" i="1" s="1"/>
  <c r="A163" i="1" s="1"/>
  <c r="A164" i="1" s="1"/>
  <c r="AA153" i="1"/>
  <c r="AA154" i="1" s="1"/>
  <c r="AA155" i="1" s="1"/>
  <c r="AA156" i="1" s="1"/>
  <c r="AA157" i="1" s="1"/>
  <c r="AA158" i="1" s="1"/>
  <c r="A153" i="1"/>
  <c r="A154" i="1" s="1"/>
  <c r="A155" i="1" s="1"/>
  <c r="A156" i="1" s="1"/>
  <c r="A157" i="1" s="1"/>
  <c r="AA146" i="1"/>
  <c r="AA147" i="1" s="1"/>
  <c r="AA148" i="1" s="1"/>
  <c r="AA149" i="1" s="1"/>
  <c r="AA150" i="1" s="1"/>
  <c r="AA151" i="1" s="1"/>
  <c r="A146" i="1"/>
  <c r="A145" i="1" s="1"/>
  <c r="AA139" i="1"/>
  <c r="AA140" i="1" s="1"/>
  <c r="AA141" i="1" s="1"/>
  <c r="AA142" i="1" s="1"/>
  <c r="AA143" i="1" s="1"/>
  <c r="AA144" i="1" s="1"/>
  <c r="A139" i="1"/>
  <c r="A140" i="1" s="1"/>
  <c r="A141" i="1" s="1"/>
  <c r="A142" i="1" s="1"/>
  <c r="A143" i="1" s="1"/>
  <c r="AA132" i="1"/>
  <c r="AA133" i="1" s="1"/>
  <c r="AA134" i="1" s="1"/>
  <c r="AA135" i="1" s="1"/>
  <c r="AA136" i="1" s="1"/>
  <c r="AA137" i="1" s="1"/>
  <c r="A132" i="1"/>
  <c r="A131" i="1" s="1"/>
  <c r="AA125" i="1"/>
  <c r="AA126" i="1" s="1"/>
  <c r="AA127" i="1" s="1"/>
  <c r="AA128" i="1" s="1"/>
  <c r="AA129" i="1" s="1"/>
  <c r="AA130" i="1" s="1"/>
  <c r="A125" i="1"/>
  <c r="A126" i="1" s="1"/>
  <c r="A127" i="1" s="1"/>
  <c r="A128" i="1" s="1"/>
  <c r="A129" i="1" s="1"/>
  <c r="AA117" i="1"/>
  <c r="AA118" i="1" s="1"/>
  <c r="AA119" i="1" s="1"/>
  <c r="AA120" i="1" s="1"/>
  <c r="AA121" i="1" s="1"/>
  <c r="AA122" i="1" s="1"/>
  <c r="A117" i="1"/>
  <c r="A118" i="1" s="1"/>
  <c r="A119" i="1" s="1"/>
  <c r="A120" i="1" s="1"/>
  <c r="A121" i="1" s="1"/>
  <c r="AA110" i="1"/>
  <c r="AA111" i="1" s="1"/>
  <c r="AA112" i="1" s="1"/>
  <c r="AA113" i="1" s="1"/>
  <c r="AA114" i="1" s="1"/>
  <c r="AA115" i="1" s="1"/>
  <c r="AA102" i="1"/>
  <c r="AA103" i="1" s="1"/>
  <c r="AA104" i="1" s="1"/>
  <c r="AA105" i="1" s="1"/>
  <c r="AA106" i="1" s="1"/>
  <c r="AA107" i="1" s="1"/>
  <c r="C94" i="1"/>
  <c r="C95" i="1" s="1"/>
  <c r="C96" i="1" s="1"/>
  <c r="C97" i="1" s="1"/>
  <c r="C98" i="1" s="1"/>
  <c r="C99" i="1" s="1"/>
  <c r="C100" i="1" s="1"/>
  <c r="AA95" i="1"/>
  <c r="AA96" i="1" s="1"/>
  <c r="AA97" i="1" s="1"/>
  <c r="AA98" i="1" s="1"/>
  <c r="AA99" i="1" s="1"/>
  <c r="AA100" i="1" s="1"/>
  <c r="A95" i="1"/>
  <c r="A94" i="1" s="1"/>
  <c r="Z92" i="1"/>
  <c r="U92" i="1"/>
  <c r="T92" i="1"/>
  <c r="S92" i="1"/>
  <c r="R92" i="1"/>
  <c r="Q92" i="1"/>
  <c r="P92" i="1"/>
  <c r="O92" i="1"/>
  <c r="N92" i="1"/>
  <c r="M92" i="1"/>
  <c r="L92" i="1"/>
  <c r="K92" i="1"/>
  <c r="J92" i="1"/>
  <c r="I92" i="1"/>
  <c r="H92" i="1"/>
  <c r="G92" i="1"/>
  <c r="F92" i="1"/>
  <c r="E92" i="1"/>
  <c r="AA88" i="1"/>
  <c r="AA89" i="1" s="1"/>
  <c r="AA90" i="1" s="1"/>
  <c r="AA91" i="1" s="1"/>
  <c r="AA92" i="1" s="1"/>
  <c r="AA93" i="1" s="1"/>
  <c r="A88" i="1"/>
  <c r="A87" i="1" s="1"/>
  <c r="A86" i="1" s="1"/>
  <c r="C87" i="1"/>
  <c r="C88" i="1" s="1"/>
  <c r="C89" i="1" s="1"/>
  <c r="C90" i="1" s="1"/>
  <c r="C91" i="1" s="1"/>
  <c r="C92" i="1" s="1"/>
  <c r="C93" i="1" s="1"/>
  <c r="B86" i="1"/>
  <c r="C351" i="1" l="1"/>
  <c r="C364" i="1"/>
  <c r="C347" i="1"/>
  <c r="C348" i="1" s="1"/>
  <c r="C349" i="1" s="1"/>
  <c r="C371" i="1"/>
  <c r="C365" i="1"/>
  <c r="C360" i="1"/>
  <c r="C359" i="1"/>
  <c r="C361" i="1" s="1"/>
  <c r="C352" i="1"/>
  <c r="C354" i="1" s="1"/>
  <c r="C353" i="1"/>
  <c r="C217" i="1"/>
  <c r="C218" i="1" s="1"/>
  <c r="C219" i="1" s="1"/>
  <c r="C220" i="1" s="1"/>
  <c r="C221" i="1" s="1"/>
  <c r="C222" i="1" s="1"/>
  <c r="C223" i="1" s="1"/>
  <c r="C224" i="1"/>
  <c r="C225" i="1" s="1"/>
  <c r="A138" i="1"/>
  <c r="A124" i="1"/>
  <c r="A123" i="1" s="1"/>
  <c r="A133" i="1"/>
  <c r="A134" i="1" s="1"/>
  <c r="A135" i="1" s="1"/>
  <c r="A136" i="1" s="1"/>
  <c r="X92" i="1"/>
  <c r="C101" i="1"/>
  <c r="A166" i="1"/>
  <c r="A182" i="1"/>
  <c r="A183" i="1" s="1"/>
  <c r="A184" i="1" s="1"/>
  <c r="A185" i="1" s="1"/>
  <c r="W92" i="1"/>
  <c r="A147" i="1"/>
  <c r="A148" i="1" s="1"/>
  <c r="A149" i="1" s="1"/>
  <c r="A150" i="1" s="1"/>
  <c r="A173" i="1"/>
  <c r="A159" i="1"/>
  <c r="A152" i="1"/>
  <c r="A116" i="1"/>
  <c r="A96" i="1"/>
  <c r="A97" i="1" s="1"/>
  <c r="A98" i="1" s="1"/>
  <c r="A99" i="1" s="1"/>
  <c r="Y92" i="1"/>
  <c r="V92" i="1"/>
  <c r="A89" i="1"/>
  <c r="A90" i="1" s="1"/>
  <c r="A91" i="1" s="1"/>
  <c r="A92" i="1" s="1"/>
  <c r="C362" i="1" l="1"/>
  <c r="C363" i="1" s="1"/>
  <c r="C355" i="1"/>
  <c r="C356" i="1" s="1"/>
  <c r="C367" i="1"/>
  <c r="C366" i="1"/>
  <c r="C368" i="1" s="1"/>
  <c r="C379" i="1"/>
  <c r="C372" i="1"/>
  <c r="C226" i="1"/>
  <c r="C227" i="1" s="1"/>
  <c r="C228" i="1" s="1"/>
  <c r="C229" i="1" s="1"/>
  <c r="C230" i="1" s="1"/>
  <c r="C231" i="1"/>
  <c r="C232" i="1" s="1"/>
  <c r="C109" i="1"/>
  <c r="C108" i="1" s="1"/>
  <c r="C102" i="1"/>
  <c r="C103" i="1" s="1"/>
  <c r="C104" i="1" s="1"/>
  <c r="C105" i="1" s="1"/>
  <c r="C106" i="1" s="1"/>
  <c r="C107" i="1" s="1"/>
  <c r="C369" i="1" l="1"/>
  <c r="C370" i="1" s="1"/>
  <c r="C374" i="1"/>
  <c r="C375" i="1" s="1"/>
  <c r="C376" i="1" s="1"/>
  <c r="C373" i="1"/>
  <c r="C386" i="1"/>
  <c r="C380" i="1"/>
  <c r="C233" i="1"/>
  <c r="C234" i="1" s="1"/>
  <c r="C235" i="1" s="1"/>
  <c r="C236" i="1" s="1"/>
  <c r="C237" i="1" s="1"/>
  <c r="C238" i="1"/>
  <c r="C110" i="1"/>
  <c r="C111" i="1" s="1"/>
  <c r="C112" i="1" s="1"/>
  <c r="C113" i="1" s="1"/>
  <c r="C114" i="1" s="1"/>
  <c r="C115" i="1" s="1"/>
  <c r="C116" i="1"/>
  <c r="C377" i="1" l="1"/>
  <c r="C378" i="1" s="1"/>
  <c r="C382" i="1"/>
  <c r="C383" i="1" s="1"/>
  <c r="C381" i="1"/>
  <c r="C393" i="1"/>
  <c r="C387" i="1"/>
  <c r="C239" i="1"/>
  <c r="C240" i="1" s="1"/>
  <c r="C241" i="1" s="1"/>
  <c r="C242" i="1" s="1"/>
  <c r="C245" i="1"/>
  <c r="C246" i="1" s="1"/>
  <c r="C117" i="1"/>
  <c r="C118" i="1" s="1"/>
  <c r="C119" i="1" s="1"/>
  <c r="C120" i="1" s="1"/>
  <c r="C121" i="1" s="1"/>
  <c r="C122" i="1" s="1"/>
  <c r="C124" i="1"/>
  <c r="C123" i="1" s="1"/>
  <c r="C384" i="1" l="1"/>
  <c r="C385" i="1" s="1"/>
  <c r="C388" i="1"/>
  <c r="C389" i="1"/>
  <c r="C390" i="1" s="1"/>
  <c r="C401" i="1"/>
  <c r="C394" i="1"/>
  <c r="C243" i="1"/>
  <c r="C244" i="1" s="1"/>
  <c r="C247" i="1"/>
  <c r="C248" i="1" s="1"/>
  <c r="C249" i="1" s="1"/>
  <c r="C250" i="1" s="1"/>
  <c r="C251" i="1" s="1"/>
  <c r="C252" i="1"/>
  <c r="C125" i="1"/>
  <c r="C126" i="1" s="1"/>
  <c r="C127" i="1" s="1"/>
  <c r="C128" i="1" s="1"/>
  <c r="C129" i="1" s="1"/>
  <c r="C130" i="1" s="1"/>
  <c r="C131" i="1"/>
  <c r="C391" i="1" l="1"/>
  <c r="C392" i="1" s="1"/>
  <c r="C395" i="1"/>
  <c r="C396" i="1" s="1"/>
  <c r="C397" i="1" s="1"/>
  <c r="C398" i="1" s="1"/>
  <c r="C399" i="1" s="1"/>
  <c r="C400" i="1" s="1"/>
  <c r="C409" i="1"/>
  <c r="C410" i="1" s="1"/>
  <c r="C402" i="1"/>
  <c r="C253" i="1"/>
  <c r="C254" i="1" s="1"/>
  <c r="C255" i="1" s="1"/>
  <c r="C256" i="1" s="1"/>
  <c r="C257" i="1" s="1"/>
  <c r="C258" i="1" s="1"/>
  <c r="C259" i="1" s="1"/>
  <c r="C260" i="1"/>
  <c r="C132" i="1"/>
  <c r="C133" i="1" s="1"/>
  <c r="C134" i="1" s="1"/>
  <c r="C135" i="1" s="1"/>
  <c r="C136" i="1" s="1"/>
  <c r="C137" i="1" s="1"/>
  <c r="AA80" i="1"/>
  <c r="AA81" i="1" s="1"/>
  <c r="AA82" i="1" s="1"/>
  <c r="AA83" i="1" s="1"/>
  <c r="AA84" i="1" s="1"/>
  <c r="AA85" i="1" s="1"/>
  <c r="AA73" i="1"/>
  <c r="AA74" i="1" s="1"/>
  <c r="AA75" i="1" s="1"/>
  <c r="AA76" i="1" s="1"/>
  <c r="AA77" i="1" s="1"/>
  <c r="AA78" i="1" s="1"/>
  <c r="AA66" i="1"/>
  <c r="AA67" i="1" s="1"/>
  <c r="AA68" i="1" s="1"/>
  <c r="AA69" i="1" s="1"/>
  <c r="AA70" i="1" s="1"/>
  <c r="AA71" i="1" s="1"/>
  <c r="AA59" i="1"/>
  <c r="AA60" i="1" s="1"/>
  <c r="AA61" i="1" s="1"/>
  <c r="AA62" i="1" s="1"/>
  <c r="AA63" i="1" s="1"/>
  <c r="AA64" i="1" s="1"/>
  <c r="AA52" i="1"/>
  <c r="AA53" i="1" s="1"/>
  <c r="AA54" i="1" s="1"/>
  <c r="AA55" i="1" s="1"/>
  <c r="AA56" i="1" s="1"/>
  <c r="AA57" i="1" s="1"/>
  <c r="AA45" i="1"/>
  <c r="AA46" i="1" s="1"/>
  <c r="AA47" i="1" s="1"/>
  <c r="AA48" i="1" s="1"/>
  <c r="AA49" i="1" s="1"/>
  <c r="AA50" i="1" s="1"/>
  <c r="AA38" i="1"/>
  <c r="AA39" i="1" s="1"/>
  <c r="AA40" i="1" s="1"/>
  <c r="AA41" i="1" s="1"/>
  <c r="AA42" i="1" s="1"/>
  <c r="AA43" i="1" s="1"/>
  <c r="AA31" i="1"/>
  <c r="AA32" i="1" s="1"/>
  <c r="AA33" i="1" s="1"/>
  <c r="AA34" i="1" s="1"/>
  <c r="AA35" i="1" s="1"/>
  <c r="AA36" i="1" s="1"/>
  <c r="AA24" i="1"/>
  <c r="AA25" i="1" s="1"/>
  <c r="AA26" i="1" s="1"/>
  <c r="AA27" i="1" s="1"/>
  <c r="AA28" i="1" s="1"/>
  <c r="AA29" i="1" s="1"/>
  <c r="AA17" i="1"/>
  <c r="AA18" i="1" s="1"/>
  <c r="AA19" i="1" s="1"/>
  <c r="AA20" i="1" s="1"/>
  <c r="AA21" i="1" s="1"/>
  <c r="AA22" i="1" s="1"/>
  <c r="AA10" i="1"/>
  <c r="AA11" i="1" s="1"/>
  <c r="AA12" i="1" s="1"/>
  <c r="AA13" i="1" s="1"/>
  <c r="AA14" i="1" s="1"/>
  <c r="AA15" i="1" s="1"/>
  <c r="AA3" i="1"/>
  <c r="AA4" i="1" s="1"/>
  <c r="AA5" i="1" s="1"/>
  <c r="AA6" i="1" s="1"/>
  <c r="AA7" i="1" s="1"/>
  <c r="AA8" i="1" s="1"/>
  <c r="U84" i="1"/>
  <c r="T84" i="1"/>
  <c r="S84" i="1"/>
  <c r="R84" i="1"/>
  <c r="Q84" i="1"/>
  <c r="N84" i="1"/>
  <c r="M84" i="1"/>
  <c r="L84" i="1"/>
  <c r="K84" i="1"/>
  <c r="H84" i="1"/>
  <c r="G84" i="1"/>
  <c r="F84" i="1"/>
  <c r="E84" i="1"/>
  <c r="B84" i="1"/>
  <c r="U77" i="1"/>
  <c r="T77" i="1"/>
  <c r="S77" i="1"/>
  <c r="R77" i="1"/>
  <c r="Q77" i="1"/>
  <c r="N77" i="1"/>
  <c r="M77" i="1"/>
  <c r="L77" i="1"/>
  <c r="K77" i="1"/>
  <c r="H77" i="1"/>
  <c r="G77" i="1"/>
  <c r="F77" i="1"/>
  <c r="E77" i="1"/>
  <c r="B77" i="1"/>
  <c r="U70" i="1"/>
  <c r="T70" i="1"/>
  <c r="S70" i="1"/>
  <c r="R70" i="1"/>
  <c r="Q70" i="1"/>
  <c r="N70" i="1"/>
  <c r="M70" i="1"/>
  <c r="L70" i="1"/>
  <c r="K70" i="1"/>
  <c r="H70" i="1"/>
  <c r="G70" i="1"/>
  <c r="F70" i="1"/>
  <c r="E70" i="1"/>
  <c r="B70" i="1"/>
  <c r="U63" i="1"/>
  <c r="T63" i="1"/>
  <c r="S63" i="1"/>
  <c r="R63" i="1"/>
  <c r="Q63" i="1"/>
  <c r="N63" i="1"/>
  <c r="M63" i="1"/>
  <c r="L63" i="1"/>
  <c r="K63" i="1"/>
  <c r="H63" i="1"/>
  <c r="G63" i="1"/>
  <c r="F63" i="1"/>
  <c r="E63" i="1"/>
  <c r="B63" i="1"/>
  <c r="U56" i="1"/>
  <c r="T56" i="1"/>
  <c r="S56" i="1"/>
  <c r="R56" i="1"/>
  <c r="Q56" i="1"/>
  <c r="N56" i="1"/>
  <c r="M56" i="1"/>
  <c r="L56" i="1"/>
  <c r="K56" i="1"/>
  <c r="H56" i="1"/>
  <c r="G56" i="1"/>
  <c r="F56" i="1"/>
  <c r="E56" i="1"/>
  <c r="B56" i="1"/>
  <c r="U49" i="1"/>
  <c r="T49" i="1"/>
  <c r="S49" i="1"/>
  <c r="R49" i="1"/>
  <c r="Q49" i="1"/>
  <c r="N49" i="1"/>
  <c r="M49" i="1"/>
  <c r="L49" i="1"/>
  <c r="K49" i="1"/>
  <c r="H49" i="1"/>
  <c r="G49" i="1"/>
  <c r="F49" i="1"/>
  <c r="E49" i="1"/>
  <c r="B49" i="1"/>
  <c r="U42" i="1"/>
  <c r="T42" i="1"/>
  <c r="S42" i="1"/>
  <c r="R42" i="1"/>
  <c r="Q42" i="1"/>
  <c r="N42" i="1"/>
  <c r="M42" i="1"/>
  <c r="L42" i="1"/>
  <c r="K42" i="1"/>
  <c r="H42" i="1"/>
  <c r="G42" i="1"/>
  <c r="F42" i="1"/>
  <c r="E42" i="1"/>
  <c r="B42" i="1"/>
  <c r="U35" i="1"/>
  <c r="T35" i="1"/>
  <c r="S35" i="1"/>
  <c r="R35" i="1"/>
  <c r="Q35" i="1"/>
  <c r="N35" i="1"/>
  <c r="M35" i="1"/>
  <c r="L35" i="1"/>
  <c r="K35" i="1"/>
  <c r="H35" i="1"/>
  <c r="G35" i="1"/>
  <c r="F35" i="1"/>
  <c r="E35" i="1"/>
  <c r="B35" i="1"/>
  <c r="U28" i="1"/>
  <c r="T28" i="1"/>
  <c r="S28" i="1"/>
  <c r="R28" i="1"/>
  <c r="Q28" i="1"/>
  <c r="N28" i="1"/>
  <c r="M28" i="1"/>
  <c r="L28" i="1"/>
  <c r="K28" i="1"/>
  <c r="H28" i="1"/>
  <c r="G28" i="1"/>
  <c r="F28" i="1"/>
  <c r="E28" i="1"/>
  <c r="B28" i="1"/>
  <c r="U21" i="1"/>
  <c r="T21" i="1"/>
  <c r="S21" i="1"/>
  <c r="R21" i="1"/>
  <c r="Q21" i="1"/>
  <c r="N21" i="1"/>
  <c r="M21" i="1"/>
  <c r="L21" i="1"/>
  <c r="K21" i="1"/>
  <c r="H21" i="1"/>
  <c r="G21" i="1"/>
  <c r="F21" i="1"/>
  <c r="E21" i="1"/>
  <c r="B21" i="1"/>
  <c r="U14" i="1"/>
  <c r="T14" i="1"/>
  <c r="S14" i="1"/>
  <c r="R14" i="1"/>
  <c r="Q14" i="1"/>
  <c r="N14" i="1"/>
  <c r="M14" i="1"/>
  <c r="L14" i="1"/>
  <c r="K14" i="1"/>
  <c r="H14" i="1"/>
  <c r="G14" i="1"/>
  <c r="F14" i="1"/>
  <c r="E14" i="1"/>
  <c r="B14" i="1"/>
  <c r="F7" i="1"/>
  <c r="G7" i="1"/>
  <c r="H7" i="1"/>
  <c r="K7" i="1"/>
  <c r="L7" i="1"/>
  <c r="M7" i="1"/>
  <c r="N7" i="1"/>
  <c r="Q7" i="1"/>
  <c r="R7" i="1"/>
  <c r="S7" i="1"/>
  <c r="T7" i="1"/>
  <c r="U7" i="1"/>
  <c r="E7" i="1"/>
  <c r="C7" i="1"/>
  <c r="B7" i="1"/>
  <c r="A80" i="1"/>
  <c r="A81" i="1" s="1"/>
  <c r="A82" i="1" s="1"/>
  <c r="A83" i="1" s="1"/>
  <c r="A84" i="1" s="1"/>
  <c r="A72" i="1"/>
  <c r="A73" i="1" s="1"/>
  <c r="A74" i="1" s="1"/>
  <c r="A75" i="1" s="1"/>
  <c r="A76" i="1" s="1"/>
  <c r="A77" i="1" s="1"/>
  <c r="A65" i="1"/>
  <c r="A66" i="1" s="1"/>
  <c r="A67" i="1" s="1"/>
  <c r="A68" i="1" s="1"/>
  <c r="A69" i="1" s="1"/>
  <c r="A70" i="1" s="1"/>
  <c r="A58" i="1"/>
  <c r="A59" i="1" s="1"/>
  <c r="A60" i="1" s="1"/>
  <c r="A61" i="1" s="1"/>
  <c r="A62" i="1" s="1"/>
  <c r="A63" i="1" s="1"/>
  <c r="A52" i="1"/>
  <c r="A53" i="1" s="1"/>
  <c r="A54" i="1" s="1"/>
  <c r="A55" i="1" s="1"/>
  <c r="A56" i="1" s="1"/>
  <c r="A45" i="1"/>
  <c r="A44" i="1" s="1"/>
  <c r="A39" i="1"/>
  <c r="A30" i="1"/>
  <c r="A31" i="1" s="1"/>
  <c r="A32" i="1" s="1"/>
  <c r="A33" i="1" s="1"/>
  <c r="A34" i="1" s="1"/>
  <c r="A35" i="1" s="1"/>
  <c r="C23" i="1"/>
  <c r="C24" i="1" s="1"/>
  <c r="C25" i="1" s="1"/>
  <c r="C26" i="1" s="1"/>
  <c r="C27" i="1" s="1"/>
  <c r="C29" i="1" s="1"/>
  <c r="A23" i="1"/>
  <c r="A24" i="1" s="1"/>
  <c r="A25" i="1" s="1"/>
  <c r="A26" i="1" s="1"/>
  <c r="A27" i="1" s="1"/>
  <c r="A28" i="1" s="1"/>
  <c r="A16" i="1"/>
  <c r="A17" i="1" s="1"/>
  <c r="A18" i="1" s="1"/>
  <c r="A19" i="1" s="1"/>
  <c r="A20" i="1" s="1"/>
  <c r="A21" i="1" s="1"/>
  <c r="A9" i="1"/>
  <c r="A10" i="1" s="1"/>
  <c r="A11" i="1" s="1"/>
  <c r="A12" i="1" s="1"/>
  <c r="A13" i="1" s="1"/>
  <c r="A14" i="1" s="1"/>
  <c r="A2" i="1"/>
  <c r="A3" i="1" s="1"/>
  <c r="A4" i="1" s="1"/>
  <c r="A5" i="1" s="1"/>
  <c r="A6" i="1" s="1"/>
  <c r="A7" i="1" s="1"/>
  <c r="C17" i="1"/>
  <c r="C18" i="1" s="1"/>
  <c r="C19" i="1" s="1"/>
  <c r="C20" i="1" s="1"/>
  <c r="C22" i="1" s="1"/>
  <c r="C10" i="1"/>
  <c r="C11" i="1" s="1"/>
  <c r="C12" i="1" s="1"/>
  <c r="C13" i="1" s="1"/>
  <c r="C15" i="1" s="1"/>
  <c r="D9" i="1"/>
  <c r="D16" i="1" s="1"/>
  <c r="D23" i="1" s="1"/>
  <c r="D30" i="1" s="1"/>
  <c r="D39" i="1" s="1"/>
  <c r="D45" i="1" s="1"/>
  <c r="D52" i="1" s="1"/>
  <c r="D58" i="1" s="1"/>
  <c r="D65" i="1" s="1"/>
  <c r="D72" i="1" s="1"/>
  <c r="D80" i="1" s="1"/>
  <c r="D10" i="1"/>
  <c r="D17" i="1" s="1"/>
  <c r="D24" i="1" s="1"/>
  <c r="D31" i="1" s="1"/>
  <c r="D11" i="1"/>
  <c r="D18" i="1" s="1"/>
  <c r="D25" i="1" s="1"/>
  <c r="D32" i="1" s="1"/>
  <c r="D40" i="1" s="1"/>
  <c r="D47" i="1" s="1"/>
  <c r="D54" i="1" s="1"/>
  <c r="D60" i="1" s="1"/>
  <c r="D67" i="1" s="1"/>
  <c r="D74" i="1" s="1"/>
  <c r="D82" i="1" s="1"/>
  <c r="D12" i="1"/>
  <c r="D19" i="1" s="1"/>
  <c r="D26" i="1" s="1"/>
  <c r="D33" i="1" s="1"/>
  <c r="D13" i="1"/>
  <c r="D20" i="1" s="1"/>
  <c r="D27" i="1" s="1"/>
  <c r="D34" i="1" s="1"/>
  <c r="D41" i="1" s="1"/>
  <c r="D48" i="1" s="1"/>
  <c r="D55" i="1" s="1"/>
  <c r="D62" i="1" s="1"/>
  <c r="D69" i="1" s="1"/>
  <c r="D76" i="1" s="1"/>
  <c r="Y76" i="1"/>
  <c r="X76" i="1"/>
  <c r="W76" i="1"/>
  <c r="P76" i="1"/>
  <c r="O76" i="1"/>
  <c r="J76" i="1"/>
  <c r="I76" i="1"/>
  <c r="Y69" i="1"/>
  <c r="X69" i="1"/>
  <c r="W69" i="1"/>
  <c r="P69" i="1"/>
  <c r="O69" i="1"/>
  <c r="J69" i="1"/>
  <c r="I69" i="1"/>
  <c r="Y62" i="1"/>
  <c r="X62" i="1"/>
  <c r="W62" i="1"/>
  <c r="P62" i="1"/>
  <c r="O62" i="1"/>
  <c r="J62" i="1"/>
  <c r="I62" i="1"/>
  <c r="Y55" i="1"/>
  <c r="X55" i="1"/>
  <c r="W55" i="1"/>
  <c r="P55" i="1"/>
  <c r="O55" i="1"/>
  <c r="J55" i="1"/>
  <c r="I55" i="1"/>
  <c r="Y48" i="1"/>
  <c r="X48" i="1"/>
  <c r="W48" i="1"/>
  <c r="P48" i="1"/>
  <c r="O48" i="1"/>
  <c r="J48" i="1"/>
  <c r="I48" i="1"/>
  <c r="Y41" i="1"/>
  <c r="X41" i="1"/>
  <c r="W41" i="1"/>
  <c r="P41" i="1"/>
  <c r="O41" i="1"/>
  <c r="J41" i="1"/>
  <c r="I41" i="1"/>
  <c r="Y34" i="1"/>
  <c r="X34" i="1"/>
  <c r="W34" i="1"/>
  <c r="P34" i="1"/>
  <c r="O34" i="1"/>
  <c r="J34" i="1"/>
  <c r="I34" i="1"/>
  <c r="Y27" i="1"/>
  <c r="X27" i="1"/>
  <c r="W27" i="1"/>
  <c r="P27" i="1"/>
  <c r="O27" i="1"/>
  <c r="J27" i="1"/>
  <c r="I27" i="1"/>
  <c r="Y20" i="1"/>
  <c r="X20" i="1"/>
  <c r="W20" i="1"/>
  <c r="P20" i="1"/>
  <c r="O20" i="1"/>
  <c r="J20" i="1"/>
  <c r="I20" i="1"/>
  <c r="Y13" i="1"/>
  <c r="X13" i="1"/>
  <c r="W13" i="1"/>
  <c r="P13" i="1"/>
  <c r="O13" i="1"/>
  <c r="J13" i="1"/>
  <c r="I13" i="1"/>
  <c r="Y6" i="1"/>
  <c r="X6" i="1"/>
  <c r="W6" i="1"/>
  <c r="P6" i="1"/>
  <c r="O6" i="1"/>
  <c r="J6" i="1"/>
  <c r="I6" i="1"/>
  <c r="Y83" i="1"/>
  <c r="X83" i="1"/>
  <c r="W83" i="1"/>
  <c r="P83" i="1"/>
  <c r="O83" i="1"/>
  <c r="J83" i="1"/>
  <c r="I83" i="1"/>
  <c r="Y75" i="1"/>
  <c r="X75" i="1"/>
  <c r="W75" i="1"/>
  <c r="P75" i="1"/>
  <c r="O75" i="1"/>
  <c r="J75" i="1"/>
  <c r="I75" i="1"/>
  <c r="Y68" i="1"/>
  <c r="X68" i="1"/>
  <c r="W68" i="1"/>
  <c r="P68" i="1"/>
  <c r="O68" i="1"/>
  <c r="J68" i="1"/>
  <c r="I68" i="1"/>
  <c r="Y61" i="1"/>
  <c r="X61" i="1"/>
  <c r="W61" i="1"/>
  <c r="P61" i="1"/>
  <c r="O61" i="1"/>
  <c r="J61" i="1"/>
  <c r="I61" i="1"/>
  <c r="Y33" i="1"/>
  <c r="X33" i="1"/>
  <c r="W33" i="1"/>
  <c r="P33" i="1"/>
  <c r="O33" i="1"/>
  <c r="J33" i="1"/>
  <c r="I33" i="1"/>
  <c r="Y26" i="1"/>
  <c r="X26" i="1"/>
  <c r="W26" i="1"/>
  <c r="P26" i="1"/>
  <c r="O26" i="1"/>
  <c r="J26" i="1"/>
  <c r="I26" i="1"/>
  <c r="Y19" i="1"/>
  <c r="X19" i="1"/>
  <c r="W19" i="1"/>
  <c r="P19" i="1"/>
  <c r="O19" i="1"/>
  <c r="J19" i="1"/>
  <c r="I19" i="1"/>
  <c r="Y12" i="1"/>
  <c r="X12" i="1"/>
  <c r="W12" i="1"/>
  <c r="P12" i="1"/>
  <c r="O12" i="1"/>
  <c r="J12" i="1"/>
  <c r="I12" i="1"/>
  <c r="Y5" i="1"/>
  <c r="X5" i="1"/>
  <c r="W5" i="1"/>
  <c r="P5" i="1"/>
  <c r="O5" i="1"/>
  <c r="J5" i="1"/>
  <c r="I5" i="1"/>
  <c r="Y82" i="1"/>
  <c r="X82" i="1"/>
  <c r="W82" i="1"/>
  <c r="P82" i="1"/>
  <c r="O82" i="1"/>
  <c r="J82" i="1"/>
  <c r="I82" i="1"/>
  <c r="Y74" i="1"/>
  <c r="X74" i="1"/>
  <c r="W74" i="1"/>
  <c r="P74" i="1"/>
  <c r="O74" i="1"/>
  <c r="J74" i="1"/>
  <c r="I74" i="1"/>
  <c r="Y67" i="1"/>
  <c r="X67" i="1"/>
  <c r="W67" i="1"/>
  <c r="P67" i="1"/>
  <c r="O67" i="1"/>
  <c r="J67" i="1"/>
  <c r="I67" i="1"/>
  <c r="Y60" i="1"/>
  <c r="X60" i="1"/>
  <c r="W60" i="1"/>
  <c r="P60" i="1"/>
  <c r="O60" i="1"/>
  <c r="J60" i="1"/>
  <c r="I60" i="1"/>
  <c r="Y54" i="1"/>
  <c r="X54" i="1"/>
  <c r="W54" i="1"/>
  <c r="P54" i="1"/>
  <c r="O54" i="1"/>
  <c r="J54" i="1"/>
  <c r="I54" i="1"/>
  <c r="Y47" i="1"/>
  <c r="X47" i="1"/>
  <c r="W47" i="1"/>
  <c r="P47" i="1"/>
  <c r="O47" i="1"/>
  <c r="J47" i="1"/>
  <c r="I47" i="1"/>
  <c r="Y40" i="1"/>
  <c r="X40" i="1"/>
  <c r="W40" i="1"/>
  <c r="P40" i="1"/>
  <c r="O40" i="1"/>
  <c r="J40" i="1"/>
  <c r="I40" i="1"/>
  <c r="Y32" i="1"/>
  <c r="X32" i="1"/>
  <c r="W32" i="1"/>
  <c r="P32" i="1"/>
  <c r="O32" i="1"/>
  <c r="J32" i="1"/>
  <c r="I32" i="1"/>
  <c r="Y25" i="1"/>
  <c r="X25" i="1"/>
  <c r="W25" i="1"/>
  <c r="P25" i="1"/>
  <c r="O25" i="1"/>
  <c r="J25" i="1"/>
  <c r="I25" i="1"/>
  <c r="Y18" i="1"/>
  <c r="X18" i="1"/>
  <c r="W18" i="1"/>
  <c r="P18" i="1"/>
  <c r="O18" i="1"/>
  <c r="J18" i="1"/>
  <c r="I18" i="1"/>
  <c r="Y11" i="1"/>
  <c r="X11" i="1"/>
  <c r="W11" i="1"/>
  <c r="P11" i="1"/>
  <c r="O11" i="1"/>
  <c r="J11" i="1"/>
  <c r="I11" i="1"/>
  <c r="Y4" i="1"/>
  <c r="X4" i="1"/>
  <c r="W4" i="1"/>
  <c r="P4" i="1"/>
  <c r="O4" i="1"/>
  <c r="J4" i="1"/>
  <c r="I4" i="1"/>
  <c r="Y81" i="1"/>
  <c r="X81" i="1"/>
  <c r="W81" i="1"/>
  <c r="P81" i="1"/>
  <c r="O81" i="1"/>
  <c r="J81" i="1"/>
  <c r="I81" i="1"/>
  <c r="Y73" i="1"/>
  <c r="X73" i="1"/>
  <c r="W73" i="1"/>
  <c r="P73" i="1"/>
  <c r="O73" i="1"/>
  <c r="J73" i="1"/>
  <c r="I73" i="1"/>
  <c r="Y66" i="1"/>
  <c r="X66" i="1"/>
  <c r="W66" i="1"/>
  <c r="P66" i="1"/>
  <c r="O66" i="1"/>
  <c r="J66" i="1"/>
  <c r="I66" i="1"/>
  <c r="Y59" i="1"/>
  <c r="X59" i="1"/>
  <c r="W59" i="1"/>
  <c r="P59" i="1"/>
  <c r="O59" i="1"/>
  <c r="J59" i="1"/>
  <c r="I59" i="1"/>
  <c r="Y53" i="1"/>
  <c r="X53" i="1"/>
  <c r="W53" i="1"/>
  <c r="P53" i="1"/>
  <c r="O53" i="1"/>
  <c r="J53" i="1"/>
  <c r="I53" i="1"/>
  <c r="Y46" i="1"/>
  <c r="X46" i="1"/>
  <c r="W46" i="1"/>
  <c r="P46" i="1"/>
  <c r="O46" i="1"/>
  <c r="J46" i="1"/>
  <c r="I46" i="1"/>
  <c r="Y31" i="1"/>
  <c r="X31" i="1"/>
  <c r="W31" i="1"/>
  <c r="P31" i="1"/>
  <c r="O31" i="1"/>
  <c r="J31" i="1"/>
  <c r="I31" i="1"/>
  <c r="Y24" i="1"/>
  <c r="X24" i="1"/>
  <c r="W24" i="1"/>
  <c r="P24" i="1"/>
  <c r="O24" i="1"/>
  <c r="J24" i="1"/>
  <c r="I24" i="1"/>
  <c r="Y17" i="1"/>
  <c r="X17" i="1"/>
  <c r="W17" i="1"/>
  <c r="P17" i="1"/>
  <c r="O17" i="1"/>
  <c r="J17" i="1"/>
  <c r="I17" i="1"/>
  <c r="Y10" i="1"/>
  <c r="X10" i="1"/>
  <c r="W10" i="1"/>
  <c r="P10" i="1"/>
  <c r="O10" i="1"/>
  <c r="J10" i="1"/>
  <c r="I10" i="1"/>
  <c r="Y3" i="1"/>
  <c r="X3" i="1"/>
  <c r="W3" i="1"/>
  <c r="P3" i="1"/>
  <c r="O3" i="1"/>
  <c r="J3" i="1"/>
  <c r="I3" i="1"/>
  <c r="Y80" i="1"/>
  <c r="X80" i="1"/>
  <c r="W80" i="1"/>
  <c r="P80" i="1"/>
  <c r="O80" i="1"/>
  <c r="J80" i="1"/>
  <c r="I80" i="1"/>
  <c r="Y72" i="1"/>
  <c r="X72" i="1"/>
  <c r="W72" i="1"/>
  <c r="P72" i="1"/>
  <c r="O72" i="1"/>
  <c r="J72" i="1"/>
  <c r="I72" i="1"/>
  <c r="Y65" i="1"/>
  <c r="X65" i="1"/>
  <c r="W65" i="1"/>
  <c r="P65" i="1"/>
  <c r="O65" i="1"/>
  <c r="J65" i="1"/>
  <c r="I65" i="1"/>
  <c r="Y58" i="1"/>
  <c r="X58" i="1"/>
  <c r="W58" i="1"/>
  <c r="P58" i="1"/>
  <c r="O58" i="1"/>
  <c r="J58" i="1"/>
  <c r="I58" i="1"/>
  <c r="Y52" i="1"/>
  <c r="X52" i="1"/>
  <c r="W52" i="1"/>
  <c r="P52" i="1"/>
  <c r="O52" i="1"/>
  <c r="J52" i="1"/>
  <c r="I52" i="1"/>
  <c r="Y45" i="1"/>
  <c r="X45" i="1"/>
  <c r="W45" i="1"/>
  <c r="P45" i="1"/>
  <c r="O45" i="1"/>
  <c r="J45" i="1"/>
  <c r="I45" i="1"/>
  <c r="Y39" i="1"/>
  <c r="X39" i="1"/>
  <c r="W39" i="1"/>
  <c r="P39" i="1"/>
  <c r="O39" i="1"/>
  <c r="J39" i="1"/>
  <c r="I39" i="1"/>
  <c r="Y30" i="1"/>
  <c r="X30" i="1"/>
  <c r="W30" i="1"/>
  <c r="P30" i="1"/>
  <c r="O30" i="1"/>
  <c r="J30" i="1"/>
  <c r="I30" i="1"/>
  <c r="Y23" i="1"/>
  <c r="X23" i="1"/>
  <c r="W23" i="1"/>
  <c r="P23" i="1"/>
  <c r="O23" i="1"/>
  <c r="J23" i="1"/>
  <c r="I23" i="1"/>
  <c r="Y16" i="1"/>
  <c r="X16" i="1"/>
  <c r="W16" i="1"/>
  <c r="P16" i="1"/>
  <c r="O16" i="1"/>
  <c r="J16" i="1"/>
  <c r="I16" i="1"/>
  <c r="Y9" i="1"/>
  <c r="X9" i="1"/>
  <c r="W9" i="1"/>
  <c r="P9" i="1"/>
  <c r="O9" i="1"/>
  <c r="J9" i="1"/>
  <c r="I9" i="1"/>
  <c r="Y2" i="1"/>
  <c r="X2" i="1"/>
  <c r="W2" i="1"/>
  <c r="P2" i="1"/>
  <c r="O2" i="1"/>
  <c r="J2" i="1"/>
  <c r="I2" i="1"/>
  <c r="Y79" i="1"/>
  <c r="X79" i="1"/>
  <c r="W79" i="1"/>
  <c r="P79" i="1"/>
  <c r="O79" i="1"/>
  <c r="J79" i="1"/>
  <c r="I79" i="1"/>
  <c r="Y51" i="1"/>
  <c r="X51" i="1"/>
  <c r="W51" i="1"/>
  <c r="P51" i="1"/>
  <c r="O51" i="1"/>
  <c r="J51" i="1"/>
  <c r="I51" i="1"/>
  <c r="Y44" i="1"/>
  <c r="X44" i="1"/>
  <c r="W44" i="1"/>
  <c r="P44" i="1"/>
  <c r="O44" i="1"/>
  <c r="J44" i="1"/>
  <c r="I44" i="1"/>
  <c r="Y38" i="1"/>
  <c r="X38" i="1"/>
  <c r="W38" i="1"/>
  <c r="P38" i="1"/>
  <c r="O38" i="1"/>
  <c r="J38" i="1"/>
  <c r="I38" i="1"/>
  <c r="Y37" i="1"/>
  <c r="X37" i="1"/>
  <c r="W37" i="1"/>
  <c r="P37" i="1"/>
  <c r="O37" i="1"/>
  <c r="J37" i="1"/>
  <c r="I37" i="1"/>
  <c r="C403" i="1" l="1"/>
  <c r="C404" i="1" s="1"/>
  <c r="C405" i="1" s="1"/>
  <c r="C406" i="1" s="1"/>
  <c r="C407" i="1" s="1"/>
  <c r="C408" i="1" s="1"/>
  <c r="C411" i="1"/>
  <c r="C413" i="1" s="1"/>
  <c r="C412" i="1"/>
  <c r="X21" i="1"/>
  <c r="W35" i="1"/>
  <c r="Y56" i="1"/>
  <c r="W63" i="1"/>
  <c r="C261" i="1"/>
  <c r="C262" i="1" s="1"/>
  <c r="C263" i="1" s="1"/>
  <c r="C267" i="1"/>
  <c r="X7" i="1"/>
  <c r="Y42" i="1"/>
  <c r="W49" i="1"/>
  <c r="P77" i="1"/>
  <c r="X28" i="1"/>
  <c r="W42" i="1"/>
  <c r="Y70" i="1"/>
  <c r="W84" i="1"/>
  <c r="X63" i="1"/>
  <c r="W56" i="1"/>
  <c r="Y63" i="1"/>
  <c r="X77" i="1"/>
  <c r="X84" i="1"/>
  <c r="O84" i="1"/>
  <c r="P84" i="1"/>
  <c r="J77" i="1"/>
  <c r="W77" i="1"/>
  <c r="C139" i="1"/>
  <c r="C140" i="1" s="1"/>
  <c r="C141" i="1" s="1"/>
  <c r="C142" i="1" s="1"/>
  <c r="C143" i="1" s="1"/>
  <c r="C144" i="1" s="1"/>
  <c r="J84" i="1"/>
  <c r="I84" i="1"/>
  <c r="I77" i="1"/>
  <c r="Y84" i="1"/>
  <c r="O77" i="1"/>
  <c r="O63" i="1"/>
  <c r="O56" i="1"/>
  <c r="O70" i="1"/>
  <c r="P70" i="1"/>
  <c r="I63" i="1"/>
  <c r="W70" i="1"/>
  <c r="Y77" i="1"/>
  <c r="P63" i="1"/>
  <c r="J56" i="1"/>
  <c r="I70" i="1"/>
  <c r="J70" i="1"/>
  <c r="X70" i="1"/>
  <c r="O49" i="1"/>
  <c r="W7" i="1"/>
  <c r="J63" i="1"/>
  <c r="I28" i="1"/>
  <c r="I49" i="1"/>
  <c r="P56" i="1"/>
  <c r="P49" i="1"/>
  <c r="I56" i="1"/>
  <c r="X49" i="1"/>
  <c r="X56" i="1"/>
  <c r="J49" i="1"/>
  <c r="X35" i="1"/>
  <c r="P14" i="1"/>
  <c r="P42" i="1"/>
  <c r="O28" i="1"/>
  <c r="Y49" i="1"/>
  <c r="I42" i="1"/>
  <c r="J42" i="1"/>
  <c r="I35" i="1"/>
  <c r="O35" i="1"/>
  <c r="I14" i="1"/>
  <c r="P35" i="1"/>
  <c r="J14" i="1"/>
  <c r="X42" i="1"/>
  <c r="O42" i="1"/>
  <c r="J28" i="1"/>
  <c r="I21" i="1"/>
  <c r="P7" i="1"/>
  <c r="J21" i="1"/>
  <c r="P21" i="1"/>
  <c r="J35" i="1"/>
  <c r="W28" i="1"/>
  <c r="Y35" i="1"/>
  <c r="Y7" i="1"/>
  <c r="P28" i="1"/>
  <c r="O21" i="1"/>
  <c r="C28" i="1"/>
  <c r="O14" i="1"/>
  <c r="W21" i="1"/>
  <c r="Y28" i="1"/>
  <c r="X14" i="1"/>
  <c r="C21" i="1"/>
  <c r="W14" i="1"/>
  <c r="Y21" i="1"/>
  <c r="O7" i="1"/>
  <c r="I7" i="1"/>
  <c r="J7" i="1"/>
  <c r="C14" i="1"/>
  <c r="Y14" i="1"/>
  <c r="C30" i="1"/>
  <c r="C31" i="1" s="1"/>
  <c r="C32" i="1" s="1"/>
  <c r="C33" i="1" s="1"/>
  <c r="C34" i="1" s="1"/>
  <c r="D46" i="1"/>
  <c r="D53" i="1" s="1"/>
  <c r="D59" i="1" s="1"/>
  <c r="D66" i="1" s="1"/>
  <c r="D73" i="1" s="1"/>
  <c r="D81" i="1" s="1"/>
  <c r="D61" i="1"/>
  <c r="D68" i="1" s="1"/>
  <c r="D75" i="1" s="1"/>
  <c r="D83" i="1" s="1"/>
  <c r="A40" i="1"/>
  <c r="A41" i="1" s="1"/>
  <c r="A42" i="1" s="1"/>
  <c r="A38" i="1"/>
  <c r="A37" i="1" s="1"/>
  <c r="A51" i="1"/>
  <c r="A79" i="1"/>
  <c r="A46" i="1"/>
  <c r="A47" i="1" s="1"/>
  <c r="A48" i="1" s="1"/>
  <c r="A49" i="1" s="1"/>
  <c r="V59" i="1"/>
  <c r="V81" i="1"/>
  <c r="V75" i="1"/>
  <c r="Z26" i="1"/>
  <c r="Z74" i="1"/>
  <c r="V5" i="1"/>
  <c r="Z80" i="1"/>
  <c r="V24" i="1"/>
  <c r="Z32" i="1"/>
  <c r="Z76" i="1"/>
  <c r="Z3" i="1"/>
  <c r="V74" i="1"/>
  <c r="Z16" i="1"/>
  <c r="V34" i="1"/>
  <c r="V51" i="1"/>
  <c r="V62" i="1"/>
  <c r="V3" i="1"/>
  <c r="V20" i="1"/>
  <c r="V31" i="1"/>
  <c r="V25" i="1"/>
  <c r="V45" i="1"/>
  <c r="V26" i="1"/>
  <c r="V83" i="1"/>
  <c r="V40" i="1"/>
  <c r="Z34" i="1"/>
  <c r="Z53" i="1"/>
  <c r="V67" i="1"/>
  <c r="V27" i="1"/>
  <c r="V19" i="1"/>
  <c r="V52" i="1"/>
  <c r="Z81" i="1"/>
  <c r="Z19" i="1"/>
  <c r="V55" i="1"/>
  <c r="V2" i="1"/>
  <c r="V58" i="1"/>
  <c r="Z40" i="1"/>
  <c r="V12" i="1"/>
  <c r="V68" i="1"/>
  <c r="Z23" i="1"/>
  <c r="V82" i="1"/>
  <c r="V17" i="1"/>
  <c r="V60" i="1"/>
  <c r="V13" i="1"/>
  <c r="Z52" i="1"/>
  <c r="V65" i="1"/>
  <c r="V73" i="1"/>
  <c r="Z6" i="1"/>
  <c r="V18" i="1"/>
  <c r="Z27" i="1"/>
  <c r="V38" i="1"/>
  <c r="Z65" i="1"/>
  <c r="Z41" i="1"/>
  <c r="Z59" i="1"/>
  <c r="Z82" i="1"/>
  <c r="V69" i="1"/>
  <c r="Z51" i="1"/>
  <c r="Z45" i="1"/>
  <c r="Z67" i="1"/>
  <c r="Z48" i="1"/>
  <c r="Z69" i="1"/>
  <c r="V80" i="1"/>
  <c r="Z31" i="1"/>
  <c r="Z25" i="1"/>
  <c r="Z75" i="1"/>
  <c r="V53" i="1"/>
  <c r="V44" i="1"/>
  <c r="V23" i="1"/>
  <c r="V39" i="1"/>
  <c r="Z60" i="1"/>
  <c r="Z62" i="1"/>
  <c r="V16" i="1"/>
  <c r="Z24" i="1"/>
  <c r="Z18" i="1"/>
  <c r="Z12" i="1"/>
  <c r="Z20" i="1"/>
  <c r="Z66" i="1"/>
  <c r="Z68" i="1"/>
  <c r="V76" i="1"/>
  <c r="V46" i="1"/>
  <c r="V11" i="1"/>
  <c r="V32" i="1"/>
  <c r="V54" i="1"/>
  <c r="Z44" i="1"/>
  <c r="Z30" i="1"/>
  <c r="Z58" i="1"/>
  <c r="V41" i="1"/>
  <c r="V9" i="1"/>
  <c r="Z46" i="1"/>
  <c r="Z11" i="1"/>
  <c r="Z54" i="1"/>
  <c r="Z83" i="1"/>
  <c r="Z55" i="1"/>
  <c r="Z73" i="1"/>
  <c r="V79" i="1"/>
  <c r="Z33" i="1"/>
  <c r="Z4" i="1"/>
  <c r="V4" i="1"/>
  <c r="Z79" i="1"/>
  <c r="Z39" i="1"/>
  <c r="Z47" i="1"/>
  <c r="V47" i="1"/>
  <c r="Z17" i="1"/>
  <c r="V37" i="1"/>
  <c r="Z72" i="1"/>
  <c r="Z13" i="1"/>
  <c r="Z61" i="1"/>
  <c r="V61" i="1"/>
  <c r="Z37" i="1"/>
  <c r="Z10" i="1"/>
  <c r="V10" i="1"/>
  <c r="Z9" i="1"/>
  <c r="Z38" i="1"/>
  <c r="Z2" i="1"/>
  <c r="V30" i="1"/>
  <c r="V72" i="1"/>
  <c r="V66" i="1"/>
  <c r="Z5" i="1"/>
  <c r="V33" i="1"/>
  <c r="V6" i="1"/>
  <c r="V48" i="1"/>
  <c r="C414" i="1" l="1"/>
  <c r="C415" i="1" s="1"/>
  <c r="C416" i="1"/>
  <c r="C417" i="1" s="1"/>
  <c r="C264" i="1"/>
  <c r="C265" i="1" s="1"/>
  <c r="C266" i="1" s="1"/>
  <c r="C275" i="1"/>
  <c r="C268" i="1"/>
  <c r="C269" i="1" s="1"/>
  <c r="C270" i="1" s="1"/>
  <c r="C271" i="1" s="1"/>
  <c r="C272" i="1" s="1"/>
  <c r="C273" i="1" s="1"/>
  <c r="C274" i="1" s="1"/>
  <c r="V84" i="1"/>
  <c r="V77" i="1"/>
  <c r="C146" i="1"/>
  <c r="C147" i="1" s="1"/>
  <c r="C148" i="1" s="1"/>
  <c r="C149" i="1" s="1"/>
  <c r="C150" i="1" s="1"/>
  <c r="C151" i="1" s="1"/>
  <c r="C152" i="1"/>
  <c r="V49" i="1"/>
  <c r="V70" i="1"/>
  <c r="V56" i="1"/>
  <c r="Z77" i="1"/>
  <c r="V63" i="1"/>
  <c r="V35" i="1"/>
  <c r="Z84" i="1"/>
  <c r="V28" i="1"/>
  <c r="Z70" i="1"/>
  <c r="Z63" i="1"/>
  <c r="V14" i="1"/>
  <c r="Z56" i="1"/>
  <c r="V21" i="1"/>
  <c r="Z49" i="1"/>
  <c r="Z42" i="1"/>
  <c r="V42" i="1"/>
  <c r="C36" i="1"/>
  <c r="C35" i="1"/>
  <c r="Z28" i="1"/>
  <c r="Z35" i="1"/>
  <c r="C38" i="1"/>
  <c r="C39" i="1"/>
  <c r="C40" i="1" s="1"/>
  <c r="C41" i="1" s="1"/>
  <c r="Z21" i="1"/>
  <c r="V7" i="1"/>
  <c r="C37" i="1"/>
  <c r="Z7" i="1"/>
  <c r="Z14" i="1"/>
  <c r="C419" i="1" l="1"/>
  <c r="C420" i="1" s="1"/>
  <c r="C421" i="1" s="1"/>
  <c r="C423" i="1" s="1"/>
  <c r="C418" i="1"/>
  <c r="C276" i="1"/>
  <c r="C277" i="1" s="1"/>
  <c r="C282" i="1"/>
  <c r="C283" i="1" s="1"/>
  <c r="C153" i="1"/>
  <c r="C154" i="1" s="1"/>
  <c r="C155" i="1" s="1"/>
  <c r="C156" i="1" s="1"/>
  <c r="C157" i="1" s="1"/>
  <c r="C158" i="1" s="1"/>
  <c r="C159" i="1"/>
  <c r="C44" i="1"/>
  <c r="C45" i="1" s="1"/>
  <c r="C48" i="1" s="1"/>
  <c r="C49" i="1" s="1"/>
  <c r="C43" i="1"/>
  <c r="C42" i="1"/>
  <c r="C51" i="1" l="1"/>
  <c r="C278" i="1"/>
  <c r="C279" i="1" s="1"/>
  <c r="C280" i="1" s="1"/>
  <c r="C281" i="1" s="1"/>
  <c r="C284" i="1"/>
  <c r="C285" i="1" s="1"/>
  <c r="C286" i="1" s="1"/>
  <c r="C287" i="1" s="1"/>
  <c r="C288" i="1" s="1"/>
  <c r="C289" i="1"/>
  <c r="C46" i="1"/>
  <c r="C50" i="1" s="1"/>
  <c r="C160" i="1"/>
  <c r="C161" i="1" s="1"/>
  <c r="C162" i="1" s="1"/>
  <c r="C163" i="1" s="1"/>
  <c r="C164" i="1" s="1"/>
  <c r="C165" i="1" s="1"/>
  <c r="C166" i="1"/>
  <c r="C47" i="1" l="1"/>
  <c r="C52" i="1"/>
  <c r="C53" i="1" s="1"/>
  <c r="C54" i="1" s="1"/>
  <c r="C55" i="1" s="1"/>
  <c r="C290" i="1"/>
  <c r="C291" i="1" s="1"/>
  <c r="C296" i="1"/>
  <c r="C303" i="1" s="1"/>
  <c r="C167" i="1"/>
  <c r="C168" i="1" s="1"/>
  <c r="C169" i="1" s="1"/>
  <c r="C170" i="1" s="1"/>
  <c r="C171" i="1" s="1"/>
  <c r="C172" i="1" s="1"/>
  <c r="C173" i="1"/>
  <c r="C310" i="1" l="1"/>
  <c r="C311" i="1" s="1"/>
  <c r="C304" i="1"/>
  <c r="C305" i="1" s="1"/>
  <c r="C306" i="1" s="1"/>
  <c r="C307" i="1" s="1"/>
  <c r="C308" i="1" s="1"/>
  <c r="C309" i="1" s="1"/>
  <c r="C58" i="1"/>
  <c r="C59" i="1" s="1"/>
  <c r="C60" i="1" s="1"/>
  <c r="C61" i="1" s="1"/>
  <c r="C62" i="1" s="1"/>
  <c r="C292" i="1"/>
  <c r="C293" i="1" s="1"/>
  <c r="C294" i="1" s="1"/>
  <c r="C295" i="1" s="1"/>
  <c r="C297" i="1"/>
  <c r="C174" i="1"/>
  <c r="C175" i="1" s="1"/>
  <c r="C176" i="1" s="1"/>
  <c r="C177" i="1" s="1"/>
  <c r="C178" i="1" s="1"/>
  <c r="C179" i="1" s="1"/>
  <c r="C180" i="1"/>
  <c r="C181" i="1" s="1"/>
  <c r="C182" i="1" s="1"/>
  <c r="C183" i="1" s="1"/>
  <c r="C184" i="1" s="1"/>
  <c r="C185" i="1" s="1"/>
  <c r="C186" i="1" s="1"/>
  <c r="C57" i="1"/>
  <c r="C56" i="1"/>
  <c r="C65" i="1" l="1"/>
  <c r="C66" i="1" s="1"/>
  <c r="C67" i="1" s="1"/>
  <c r="C68" i="1" s="1"/>
  <c r="C69" i="1" s="1"/>
  <c r="C313" i="1"/>
  <c r="C314" i="1" s="1"/>
  <c r="C315" i="1" s="1"/>
  <c r="C316" i="1" s="1"/>
  <c r="C317" i="1" s="1"/>
  <c r="C318" i="1" s="1"/>
  <c r="C312" i="1"/>
  <c r="C298" i="1"/>
  <c r="C299" i="1" s="1"/>
  <c r="C300" i="1" s="1"/>
  <c r="C301" i="1" s="1"/>
  <c r="C302" i="1" s="1"/>
  <c r="C64" i="1"/>
  <c r="C63" i="1"/>
  <c r="C72" i="1" l="1"/>
  <c r="C71" i="1"/>
  <c r="C70" i="1"/>
  <c r="C73" i="1"/>
  <c r="C79" i="1"/>
  <c r="C74" i="1" l="1"/>
  <c r="C75" i="1" s="1"/>
  <c r="C76" i="1" s="1"/>
  <c r="C80" i="1"/>
  <c r="C81" i="1" l="1"/>
  <c r="C82" i="1" s="1"/>
  <c r="C83" i="1" s="1"/>
  <c r="C84" i="1" s="1"/>
  <c r="C78" i="1"/>
  <c r="C77" i="1"/>
  <c r="C85" i="1" l="1"/>
</calcChain>
</file>

<file path=xl/sharedStrings.xml><?xml version="1.0" encoding="utf-8"?>
<sst xmlns="http://schemas.openxmlformats.org/spreadsheetml/2006/main" count="1456" uniqueCount="97">
  <si>
    <t>2PM</t>
  </si>
  <si>
    <t>2PA</t>
  </si>
  <si>
    <t>3PM</t>
  </si>
  <si>
    <t>3PA</t>
  </si>
  <si>
    <t>FGM</t>
  </si>
  <si>
    <t>FGA</t>
  </si>
  <si>
    <t>FTM</t>
  </si>
  <si>
    <t>FTA</t>
  </si>
  <si>
    <t>O REB</t>
  </si>
  <si>
    <t>D REB</t>
  </si>
  <si>
    <t>PTS</t>
  </si>
  <si>
    <t>REB</t>
  </si>
  <si>
    <t>AST</t>
  </si>
  <si>
    <t>BLK</t>
  </si>
  <si>
    <t>STL</t>
  </si>
  <si>
    <t>TOV</t>
  </si>
  <si>
    <t>FLS</t>
  </si>
  <si>
    <t>FG%</t>
  </si>
  <si>
    <t>FT%</t>
  </si>
  <si>
    <t>2P%</t>
  </si>
  <si>
    <t>3P%</t>
  </si>
  <si>
    <t>GSC</t>
  </si>
  <si>
    <t>MAGIC 2</t>
  </si>
  <si>
    <t>OPP</t>
  </si>
  <si>
    <t>SAINTS</t>
  </si>
  <si>
    <t>NAMES</t>
  </si>
  <si>
    <t>GAME</t>
  </si>
  <si>
    <t>LIGHTNING 3</t>
  </si>
  <si>
    <t>LIGHTNING 1</t>
  </si>
  <si>
    <t>SEASON</t>
  </si>
  <si>
    <t>PANTHERS 1</t>
  </si>
  <si>
    <t>TOTALS</t>
  </si>
  <si>
    <t>TYPE</t>
  </si>
  <si>
    <t>REG</t>
  </si>
  <si>
    <t>FINAL</t>
  </si>
  <si>
    <t>MAGIC 1</t>
  </si>
  <si>
    <t>LIGHTNING 2</t>
  </si>
  <si>
    <t>PANTHERS 3</t>
  </si>
  <si>
    <t>PANTHERS</t>
  </si>
  <si>
    <t>PANTHERS 2</t>
  </si>
  <si>
    <t>Lachlan Farley</t>
  </si>
  <si>
    <t>Reed Coller</t>
  </si>
  <si>
    <t>Harry Coller</t>
  </si>
  <si>
    <t>Adam Blain</t>
  </si>
  <si>
    <t>Lachlan Farrugia</t>
  </si>
  <si>
    <t>FINALS</t>
  </si>
  <si>
    <t>Josh Huxtable</t>
  </si>
  <si>
    <t>Darcy Bishop</t>
  </si>
  <si>
    <t>Daniel Monitto</t>
  </si>
  <si>
    <t>Jonas Cukavac</t>
  </si>
  <si>
    <t>Matei Elefterescu</t>
  </si>
  <si>
    <t>Toby Griffiths</t>
  </si>
  <si>
    <t>Lucas Bolger</t>
  </si>
  <si>
    <t>Reece McGrath</t>
  </si>
  <si>
    <t>Riley Huxtable</t>
  </si>
  <si>
    <t>Chilli Buttigieg</t>
  </si>
  <si>
    <t>Ethan McKercher</t>
  </si>
  <si>
    <t>Blake Bowden</t>
  </si>
  <si>
    <t>Luca Mazzullo</t>
  </si>
  <si>
    <t>WK 1</t>
  </si>
  <si>
    <t>G SCORE</t>
  </si>
  <si>
    <t>WK 2</t>
  </si>
  <si>
    <t>WK 3</t>
  </si>
  <si>
    <t>WK 4</t>
  </si>
  <si>
    <t>WK 5</t>
  </si>
  <si>
    <t>WK 6</t>
  </si>
  <si>
    <t>WK 7</t>
  </si>
  <si>
    <t>WK 8</t>
  </si>
  <si>
    <t>WK 9</t>
  </si>
  <si>
    <t>WK 10</t>
  </si>
  <si>
    <t>WK 11</t>
  </si>
  <si>
    <t>WK 12</t>
  </si>
  <si>
    <t>FINAL 1</t>
  </si>
  <si>
    <t>PRELIM</t>
  </si>
  <si>
    <t>FARLS</t>
  </si>
  <si>
    <t>DAN</t>
  </si>
  <si>
    <t>BISH</t>
  </si>
  <si>
    <t>SLIX</t>
  </si>
  <si>
    <t>*</t>
  </si>
  <si>
    <t>LIAM</t>
  </si>
  <si>
    <t>JAM</t>
  </si>
  <si>
    <t>AUSSIE</t>
  </si>
  <si>
    <t>OPP - MAGIC 4</t>
  </si>
  <si>
    <t>L</t>
  </si>
  <si>
    <t>OPP - PANTHERS 2</t>
  </si>
  <si>
    <t>W</t>
  </si>
  <si>
    <t>OPP - SAINTS</t>
  </si>
  <si>
    <t>OPP - MAGIC 3</t>
  </si>
  <si>
    <t>OPP - MAGIC 1</t>
  </si>
  <si>
    <t>OPP - MAGIC 2</t>
  </si>
  <si>
    <t>D</t>
  </si>
  <si>
    <t>MAGIC 4</t>
  </si>
  <si>
    <t>MAGIC 3</t>
  </si>
  <si>
    <t>Jude Milburn</t>
  </si>
  <si>
    <t>Liam Brown</t>
  </si>
  <si>
    <t>James Norrish</t>
  </si>
  <si>
    <t>Austin Thorney-Croft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</si>
</sst>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24"/>
      <color theme="0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sz val="24"/>
      <color theme="1"/>
      <name val="Aptos Narrow"/>
      <family val="2"/>
      <scheme val="minor"/>
    </font>
    <font>
      <b/>
      <sz val="22"/>
      <color theme="0"/>
      <name val="Aptos Narrow"/>
      <family val="2"/>
      <scheme val="minor"/>
    </font>
    <font>
      <b/>
      <sz val="22"/>
      <color theme="1"/>
      <name val="Aptos Narrow"/>
      <family val="2"/>
      <scheme val="minor"/>
    </font>
    <font>
      <sz val="20"/>
      <color rgb="FFCCFF66"/>
      <name val="Aptos Narrow"/>
      <family val="2"/>
      <scheme val="minor"/>
    </font>
    <font>
      <sz val="20"/>
      <color rgb="FFFF0000"/>
      <name val="Aptos Narrow"/>
      <family val="2"/>
      <scheme val="minor"/>
    </font>
    <font>
      <sz val="20"/>
      <color theme="0"/>
      <name val="Aptos Narrow"/>
      <family val="2"/>
      <scheme val="minor"/>
    </font>
    <font>
      <sz val="24"/>
      <color theme="0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48"/>
      <color theme="0"/>
      <name val="Britannic Bold"/>
    </font>
    <font>
      <sz val="11"/>
      <color theme="0"/>
      <name val="Britannic Bold"/>
    </font>
    <font>
      <b/>
      <sz val="24"/>
      <color rgb="FF000000"/>
      <name val="Aptos Narrow"/>
      <family val="2"/>
      <scheme val="minor"/>
    </font>
    <font>
      <sz val="24"/>
      <color rgb="FF000000"/>
      <name val="Aptos Narrow"/>
      <family val="2"/>
      <scheme val="minor"/>
    </font>
    <font>
      <b/>
      <sz val="24"/>
      <name val="Aptos Narrow"/>
      <family val="2"/>
      <scheme val="minor"/>
    </font>
    <font>
      <sz val="11"/>
      <name val="Aptos Narrow"/>
      <family val="2"/>
      <scheme val="minor"/>
    </font>
    <font>
      <sz val="24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20"/>
      <color theme="0"/>
      <name val="Algerian"/>
      <family val="5"/>
    </font>
    <font>
      <b/>
      <sz val="18"/>
      <color theme="1"/>
      <name val="Aptos Narrow"/>
      <family val="2"/>
      <scheme val="minor"/>
    </font>
    <font>
      <sz val="26"/>
      <color theme="1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24"/>
      <color rgb="FFFFFFFF"/>
      <name val="Aptos Narrow"/>
      <family val="2"/>
      <scheme val="minor"/>
    </font>
  </fonts>
  <fills count="4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7EBA56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9FF66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D883FF"/>
        <bgColor indexed="64"/>
      </patternFill>
    </fill>
    <fill>
      <patternFill patternType="solid">
        <fgColor rgb="FF44B3E1"/>
        <bgColor indexed="64"/>
      </patternFill>
    </fill>
    <fill>
      <patternFill patternType="solid">
        <fgColor rgb="FFF9CB49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8" tint="0.39997558519241921"/>
        <bgColor rgb="FF000000"/>
      </patternFill>
    </fill>
    <fill>
      <patternFill patternType="solid">
        <fgColor rgb="FFFFFF66"/>
        <bgColor rgb="FF000000"/>
      </patternFill>
    </fill>
    <fill>
      <patternFill patternType="solid">
        <fgColor rgb="FFFF93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6969"/>
        <bgColor indexed="64"/>
      </patternFill>
    </fill>
    <fill>
      <patternFill patternType="solid">
        <fgColor rgb="FFFFA161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5990FF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99CC"/>
        <bgColor rgb="FF000000"/>
      </patternFill>
    </fill>
    <fill>
      <patternFill patternType="solid">
        <fgColor rgb="FFFFCC66"/>
        <bgColor rgb="FF000000"/>
      </patternFill>
    </fill>
    <fill>
      <patternFill patternType="solid">
        <fgColor rgb="FF99FF66"/>
        <bgColor rgb="FF000000"/>
      </patternFill>
    </fill>
    <fill>
      <patternFill patternType="solid">
        <fgColor rgb="FFFFA161"/>
        <bgColor rgb="FF000000"/>
      </patternFill>
    </fill>
    <fill>
      <patternFill patternType="solid">
        <fgColor rgb="FFCC99FF"/>
        <bgColor rgb="FF000000"/>
      </patternFill>
    </fill>
    <fill>
      <patternFill patternType="solid">
        <fgColor rgb="FF66CCFF"/>
        <bgColor rgb="FF000000"/>
      </patternFill>
    </fill>
    <fill>
      <patternFill patternType="solid">
        <fgColor rgb="FFFF6969"/>
        <bgColor rgb="FF000000"/>
      </patternFill>
    </fill>
    <fill>
      <patternFill patternType="solid">
        <fgColor rgb="FF000000"/>
        <bgColor rgb="FF000000"/>
      </patternFill>
    </fill>
  </fills>
  <borders count="9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2">
    <xf numFmtId="0" fontId="0" fillId="0" borderId="0"/>
    <xf numFmtId="0" fontId="1" fillId="0" borderId="0"/>
  </cellStyleXfs>
  <cellXfs count="217">
    <xf numFmtId="0" fontId="0" fillId="0" borderId="0" xfId="0"/>
    <xf numFmtId="0" fontId="1" fillId="2" borderId="0" xfId="1" applyFill="1" applyAlignment="1">
      <alignment horizontal="center" vertical="center"/>
    </xf>
    <xf numFmtId="0" fontId="3" fillId="2" borderId="0" xfId="1" applyFont="1" applyFill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6" fillId="2" borderId="1" xfId="1" applyFont="1" applyFill="1" applyBorder="1" applyAlignment="1">
      <alignment horizontal="center" vertical="center"/>
    </xf>
    <xf numFmtId="10" fontId="6" fillId="2" borderId="1" xfId="1" applyNumberFormat="1" applyFont="1" applyFill="1" applyBorder="1" applyAlignment="1">
      <alignment horizontal="center" vertical="center"/>
    </xf>
    <xf numFmtId="2" fontId="6" fillId="2" borderId="1" xfId="1" applyNumberFormat="1" applyFont="1" applyFill="1" applyBorder="1" applyAlignment="1">
      <alignment horizontal="center" vertical="center"/>
    </xf>
    <xf numFmtId="0" fontId="5" fillId="3" borderId="1" xfId="1" applyFont="1" applyFill="1" applyBorder="1" applyAlignment="1">
      <alignment horizontal="center" vertical="center"/>
    </xf>
    <xf numFmtId="0" fontId="6" fillId="4" borderId="1" xfId="1" applyFont="1" applyFill="1" applyBorder="1" applyAlignment="1">
      <alignment horizontal="center" vertical="center"/>
    </xf>
    <xf numFmtId="10" fontId="6" fillId="4" borderId="1" xfId="1" applyNumberFormat="1" applyFont="1" applyFill="1" applyBorder="1" applyAlignment="1">
      <alignment horizontal="center" vertical="center"/>
    </xf>
    <xf numFmtId="2" fontId="6" fillId="4" borderId="1" xfId="1" applyNumberFormat="1" applyFont="1" applyFill="1" applyBorder="1" applyAlignment="1">
      <alignment horizontal="center" vertical="center"/>
    </xf>
    <xf numFmtId="0" fontId="6" fillId="5" borderId="1" xfId="1" applyFont="1" applyFill="1" applyBorder="1" applyAlignment="1">
      <alignment horizontal="center" vertical="center"/>
    </xf>
    <xf numFmtId="10" fontId="6" fillId="5" borderId="1" xfId="1" applyNumberFormat="1" applyFont="1" applyFill="1" applyBorder="1" applyAlignment="1">
      <alignment horizontal="center" vertical="center"/>
    </xf>
    <xf numFmtId="2" fontId="6" fillId="5" borderId="1" xfId="1" applyNumberFormat="1" applyFont="1" applyFill="1" applyBorder="1" applyAlignment="1">
      <alignment horizontal="center" vertical="center"/>
    </xf>
    <xf numFmtId="0" fontId="6" fillId="6" borderId="1" xfId="1" applyFont="1" applyFill="1" applyBorder="1" applyAlignment="1">
      <alignment horizontal="center" vertical="center"/>
    </xf>
    <xf numFmtId="10" fontId="6" fillId="6" borderId="1" xfId="1" applyNumberFormat="1" applyFont="1" applyFill="1" applyBorder="1" applyAlignment="1">
      <alignment horizontal="center" vertical="center"/>
    </xf>
    <xf numFmtId="2" fontId="6" fillId="6" borderId="1" xfId="1" applyNumberFormat="1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 vertical="center"/>
    </xf>
    <xf numFmtId="0" fontId="1" fillId="0" borderId="1" xfId="1" applyBorder="1" applyAlignment="1">
      <alignment horizontal="center" vertical="center"/>
    </xf>
    <xf numFmtId="0" fontId="6" fillId="8" borderId="1" xfId="1" applyFont="1" applyFill="1" applyBorder="1" applyAlignment="1">
      <alignment horizontal="center" vertical="center"/>
    </xf>
    <xf numFmtId="10" fontId="6" fillId="8" borderId="1" xfId="1" applyNumberFormat="1" applyFont="1" applyFill="1" applyBorder="1" applyAlignment="1">
      <alignment horizontal="center" vertical="center"/>
    </xf>
    <xf numFmtId="2" fontId="6" fillId="8" borderId="1" xfId="1" applyNumberFormat="1" applyFont="1" applyFill="1" applyBorder="1" applyAlignment="1">
      <alignment horizontal="center" vertical="center"/>
    </xf>
    <xf numFmtId="0" fontId="6" fillId="9" borderId="1" xfId="1" applyFont="1" applyFill="1" applyBorder="1" applyAlignment="1">
      <alignment horizontal="center" vertical="center"/>
    </xf>
    <xf numFmtId="10" fontId="6" fillId="9" borderId="1" xfId="1" applyNumberFormat="1" applyFont="1" applyFill="1" applyBorder="1" applyAlignment="1">
      <alignment horizontal="center" vertical="center"/>
    </xf>
    <xf numFmtId="2" fontId="6" fillId="9" borderId="1" xfId="1" applyNumberFormat="1" applyFont="1" applyFill="1" applyBorder="1" applyAlignment="1">
      <alignment horizontal="center" vertical="center"/>
    </xf>
    <xf numFmtId="0" fontId="6" fillId="10" borderId="1" xfId="1" applyFont="1" applyFill="1" applyBorder="1" applyAlignment="1">
      <alignment horizontal="center" vertical="center"/>
    </xf>
    <xf numFmtId="10" fontId="6" fillId="10" borderId="1" xfId="1" applyNumberFormat="1" applyFont="1" applyFill="1" applyBorder="1" applyAlignment="1">
      <alignment horizontal="center" vertical="center"/>
    </xf>
    <xf numFmtId="2" fontId="6" fillId="10" borderId="1" xfId="1" applyNumberFormat="1" applyFont="1" applyFill="1" applyBorder="1" applyAlignment="1">
      <alignment horizontal="center" vertical="center"/>
    </xf>
    <xf numFmtId="0" fontId="6" fillId="11" borderId="1" xfId="1" applyFont="1" applyFill="1" applyBorder="1" applyAlignment="1">
      <alignment horizontal="center" vertical="center"/>
    </xf>
    <xf numFmtId="10" fontId="6" fillId="11" borderId="1" xfId="1" applyNumberFormat="1" applyFont="1" applyFill="1" applyBorder="1" applyAlignment="1">
      <alignment horizontal="center" vertical="center"/>
    </xf>
    <xf numFmtId="2" fontId="6" fillId="11" borderId="1" xfId="1" applyNumberFormat="1" applyFont="1" applyFill="1" applyBorder="1" applyAlignment="1">
      <alignment horizontal="center" vertical="center"/>
    </xf>
    <xf numFmtId="0" fontId="6" fillId="12" borderId="1" xfId="1" applyFont="1" applyFill="1" applyBorder="1" applyAlignment="1">
      <alignment horizontal="center" vertical="center"/>
    </xf>
    <xf numFmtId="10" fontId="6" fillId="12" borderId="1" xfId="1" applyNumberFormat="1" applyFont="1" applyFill="1" applyBorder="1" applyAlignment="1">
      <alignment horizontal="center" vertical="center"/>
    </xf>
    <xf numFmtId="2" fontId="6" fillId="12" borderId="1" xfId="1" applyNumberFormat="1" applyFont="1" applyFill="1" applyBorder="1" applyAlignment="1">
      <alignment horizontal="center" vertical="center"/>
    </xf>
    <xf numFmtId="0" fontId="4" fillId="2" borderId="0" xfId="1" applyFont="1" applyFill="1" applyAlignment="1">
      <alignment horizontal="center" vertical="center"/>
    </xf>
    <xf numFmtId="0" fontId="7" fillId="2" borderId="0" xfId="1" applyFont="1" applyFill="1" applyAlignment="1">
      <alignment horizontal="center" vertical="center"/>
    </xf>
    <xf numFmtId="0" fontId="8" fillId="2" borderId="0" xfId="1" applyFont="1" applyFill="1" applyAlignment="1">
      <alignment horizontal="center" vertical="center"/>
    </xf>
    <xf numFmtId="10" fontId="7" fillId="2" borderId="0" xfId="1" applyNumberFormat="1" applyFont="1" applyFill="1" applyAlignment="1">
      <alignment horizontal="center" vertical="center"/>
    </xf>
    <xf numFmtId="0" fontId="9" fillId="2" borderId="0" xfId="1" applyFont="1" applyFill="1" applyAlignment="1">
      <alignment horizontal="center" vertical="center"/>
    </xf>
    <xf numFmtId="0" fontId="10" fillId="2" borderId="0" xfId="1" applyFont="1" applyFill="1" applyAlignment="1">
      <alignment horizontal="center" vertical="center"/>
    </xf>
    <xf numFmtId="10" fontId="11" fillId="2" borderId="0" xfId="1" applyNumberFormat="1" applyFont="1" applyFill="1" applyAlignment="1">
      <alignment horizontal="center" vertical="center"/>
    </xf>
    <xf numFmtId="0" fontId="6" fillId="2" borderId="2" xfId="1" applyFont="1" applyFill="1" applyBorder="1" applyAlignment="1">
      <alignment horizontal="center" vertical="center"/>
    </xf>
    <xf numFmtId="0" fontId="5" fillId="2" borderId="2" xfId="1" applyFont="1" applyFill="1" applyBorder="1" applyAlignment="1">
      <alignment horizontal="center" vertical="center"/>
    </xf>
    <xf numFmtId="2" fontId="6" fillId="2" borderId="2" xfId="1" applyNumberFormat="1" applyFont="1" applyFill="1" applyBorder="1" applyAlignment="1">
      <alignment horizontal="center" vertical="center"/>
    </xf>
    <xf numFmtId="10" fontId="6" fillId="2" borderId="2" xfId="1" applyNumberFormat="1" applyFont="1" applyFill="1" applyBorder="1" applyAlignment="1">
      <alignment horizontal="center" vertical="center"/>
    </xf>
    <xf numFmtId="10" fontId="6" fillId="2" borderId="3" xfId="1" applyNumberFormat="1" applyFont="1" applyFill="1" applyBorder="1" applyAlignment="1">
      <alignment horizontal="center" vertical="center"/>
    </xf>
    <xf numFmtId="10" fontId="6" fillId="2" borderId="0" xfId="1" applyNumberFormat="1" applyFont="1" applyFill="1" applyAlignment="1">
      <alignment horizontal="center" vertical="center"/>
    </xf>
    <xf numFmtId="2" fontId="6" fillId="2" borderId="0" xfId="1" applyNumberFormat="1" applyFont="1" applyFill="1" applyAlignment="1">
      <alignment horizontal="center" vertical="center"/>
    </xf>
    <xf numFmtId="0" fontId="6" fillId="2" borderId="0" xfId="1" applyFont="1" applyFill="1" applyAlignment="1">
      <alignment horizontal="center" vertical="center"/>
    </xf>
    <xf numFmtId="0" fontId="2" fillId="2" borderId="0" xfId="1" applyFont="1" applyFill="1" applyAlignment="1">
      <alignment horizontal="center" vertical="center"/>
    </xf>
    <xf numFmtId="0" fontId="5" fillId="2" borderId="0" xfId="1" applyFont="1" applyFill="1" applyAlignment="1">
      <alignment horizontal="center" vertical="center"/>
    </xf>
    <xf numFmtId="10" fontId="12" fillId="2" borderId="0" xfId="1" applyNumberFormat="1" applyFont="1" applyFill="1" applyAlignment="1">
      <alignment horizontal="center" vertical="center"/>
    </xf>
    <xf numFmtId="0" fontId="12" fillId="2" borderId="0" xfId="1" applyFont="1" applyFill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2" fontId="5" fillId="2" borderId="2" xfId="1" applyNumberFormat="1" applyFont="1" applyFill="1" applyBorder="1" applyAlignment="1">
      <alignment horizontal="center" vertical="center"/>
    </xf>
    <xf numFmtId="10" fontId="5" fillId="2" borderId="2" xfId="1" applyNumberFormat="1" applyFont="1" applyFill="1" applyBorder="1" applyAlignment="1">
      <alignment horizontal="center" vertical="center"/>
    </xf>
    <xf numFmtId="10" fontId="5" fillId="2" borderId="3" xfId="1" applyNumberFormat="1" applyFont="1" applyFill="1" applyBorder="1" applyAlignment="1">
      <alignment horizontal="center" vertical="center"/>
    </xf>
    <xf numFmtId="10" fontId="5" fillId="2" borderId="0" xfId="1" applyNumberFormat="1" applyFont="1" applyFill="1" applyAlignment="1">
      <alignment horizontal="center" vertical="center"/>
    </xf>
    <xf numFmtId="2" fontId="5" fillId="2" borderId="0" xfId="1" applyNumberFormat="1" applyFont="1" applyFill="1" applyAlignment="1">
      <alignment horizontal="center" vertical="center"/>
    </xf>
    <xf numFmtId="0" fontId="14" fillId="2" borderId="0" xfId="1" applyFont="1" applyFill="1" applyAlignment="1">
      <alignment horizontal="center" vertical="center"/>
    </xf>
    <xf numFmtId="0" fontId="15" fillId="2" borderId="0" xfId="1" applyFont="1" applyFill="1" applyAlignment="1">
      <alignment horizontal="center" vertical="center"/>
    </xf>
    <xf numFmtId="0" fontId="5" fillId="2" borderId="3" xfId="1" applyFont="1" applyFill="1" applyBorder="1" applyAlignment="1">
      <alignment horizontal="center" vertical="center"/>
    </xf>
    <xf numFmtId="0" fontId="6" fillId="2" borderId="4" xfId="1" applyFont="1" applyFill="1" applyBorder="1" applyAlignment="1">
      <alignment horizontal="center" vertical="center"/>
    </xf>
    <xf numFmtId="10" fontId="6" fillId="2" borderId="4" xfId="1" applyNumberFormat="1" applyFont="1" applyFill="1" applyBorder="1" applyAlignment="1">
      <alignment horizontal="center" vertical="center"/>
    </xf>
    <xf numFmtId="2" fontId="6" fillId="2" borderId="0" xfId="0" applyNumberFormat="1" applyFont="1" applyFill="1" applyAlignment="1">
      <alignment horizontal="center" vertical="center"/>
    </xf>
    <xf numFmtId="0" fontId="1" fillId="2" borderId="1" xfId="1" applyFill="1" applyBorder="1" applyAlignment="1">
      <alignment horizontal="center" vertical="center"/>
    </xf>
    <xf numFmtId="0" fontId="5" fillId="3" borderId="0" xfId="1" applyFont="1" applyFill="1" applyAlignment="1">
      <alignment horizontal="center" vertical="center"/>
    </xf>
    <xf numFmtId="0" fontId="1" fillId="0" borderId="0" xfId="1" applyAlignment="1">
      <alignment horizontal="center" vertical="center"/>
    </xf>
    <xf numFmtId="10" fontId="5" fillId="7" borderId="1" xfId="1" applyNumberFormat="1" applyFont="1" applyFill="1" applyBorder="1" applyAlignment="1">
      <alignment horizontal="center" vertical="center"/>
    </xf>
    <xf numFmtId="2" fontId="5" fillId="7" borderId="1" xfId="1" applyNumberFormat="1" applyFont="1" applyFill="1" applyBorder="1" applyAlignment="1">
      <alignment horizontal="center" vertical="center"/>
    </xf>
    <xf numFmtId="0" fontId="6" fillId="13" borderId="1" xfId="1" applyFont="1" applyFill="1" applyBorder="1" applyAlignment="1">
      <alignment horizontal="center" vertical="center"/>
    </xf>
    <xf numFmtId="0" fontId="6" fillId="14" borderId="1" xfId="1" applyFont="1" applyFill="1" applyBorder="1" applyAlignment="1">
      <alignment horizontal="center" vertical="center"/>
    </xf>
    <xf numFmtId="0" fontId="5" fillId="3" borderId="1" xfId="1" applyFont="1" applyFill="1" applyBorder="1" applyAlignment="1">
      <alignment horizontal="center"/>
    </xf>
    <xf numFmtId="0" fontId="6" fillId="15" borderId="1" xfId="1" applyFont="1" applyFill="1" applyBorder="1" applyAlignment="1">
      <alignment horizontal="center"/>
    </xf>
    <xf numFmtId="10" fontId="6" fillId="15" borderId="1" xfId="1" applyNumberFormat="1" applyFont="1" applyFill="1" applyBorder="1" applyAlignment="1">
      <alignment horizontal="center"/>
    </xf>
    <xf numFmtId="2" fontId="6" fillId="15" borderId="1" xfId="1" applyNumberFormat="1" applyFont="1" applyFill="1" applyBorder="1" applyAlignment="1">
      <alignment horizontal="center"/>
    </xf>
    <xf numFmtId="0" fontId="5" fillId="7" borderId="1" xfId="1" applyFont="1" applyFill="1" applyBorder="1" applyAlignment="1">
      <alignment horizontal="center"/>
    </xf>
    <xf numFmtId="0" fontId="6" fillId="8" borderId="1" xfId="1" applyFont="1" applyFill="1" applyBorder="1" applyAlignment="1">
      <alignment horizontal="center"/>
    </xf>
    <xf numFmtId="10" fontId="6" fillId="8" borderId="1" xfId="1" applyNumberFormat="1" applyFont="1" applyFill="1" applyBorder="1" applyAlignment="1">
      <alignment horizontal="center"/>
    </xf>
    <xf numFmtId="2" fontId="6" fillId="8" borderId="1" xfId="1" applyNumberFormat="1" applyFont="1" applyFill="1" applyBorder="1" applyAlignment="1">
      <alignment horizontal="center"/>
    </xf>
    <xf numFmtId="0" fontId="6" fillId="9" borderId="1" xfId="1" applyFont="1" applyFill="1" applyBorder="1" applyAlignment="1">
      <alignment horizontal="center"/>
    </xf>
    <xf numFmtId="10" fontId="6" fillId="9" borderId="1" xfId="1" applyNumberFormat="1" applyFont="1" applyFill="1" applyBorder="1" applyAlignment="1">
      <alignment horizontal="center"/>
    </xf>
    <xf numFmtId="2" fontId="6" fillId="9" borderId="1" xfId="1" applyNumberFormat="1" applyFont="1" applyFill="1" applyBorder="1" applyAlignment="1">
      <alignment horizontal="center"/>
    </xf>
    <xf numFmtId="0" fontId="6" fillId="11" borderId="1" xfId="1" applyFont="1" applyFill="1" applyBorder="1" applyAlignment="1">
      <alignment horizontal="center"/>
    </xf>
    <xf numFmtId="10" fontId="6" fillId="11" borderId="1" xfId="1" applyNumberFormat="1" applyFont="1" applyFill="1" applyBorder="1" applyAlignment="1">
      <alignment horizontal="center"/>
    </xf>
    <xf numFmtId="2" fontId="6" fillId="11" borderId="1" xfId="1" applyNumberFormat="1" applyFont="1" applyFill="1" applyBorder="1" applyAlignment="1">
      <alignment horizontal="center"/>
    </xf>
    <xf numFmtId="0" fontId="6" fillId="12" borderId="1" xfId="1" applyFont="1" applyFill="1" applyBorder="1" applyAlignment="1">
      <alignment horizontal="center"/>
    </xf>
    <xf numFmtId="10" fontId="6" fillId="12" borderId="1" xfId="1" applyNumberFormat="1" applyFont="1" applyFill="1" applyBorder="1" applyAlignment="1">
      <alignment horizontal="center"/>
    </xf>
    <xf numFmtId="2" fontId="6" fillId="12" borderId="1" xfId="1" applyNumberFormat="1" applyFont="1" applyFill="1" applyBorder="1" applyAlignment="1">
      <alignment horizontal="center"/>
    </xf>
    <xf numFmtId="0" fontId="6" fillId="16" borderId="1" xfId="1" applyFont="1" applyFill="1" applyBorder="1" applyAlignment="1">
      <alignment horizontal="center"/>
    </xf>
    <xf numFmtId="10" fontId="6" fillId="16" borderId="1" xfId="1" applyNumberFormat="1" applyFont="1" applyFill="1" applyBorder="1" applyAlignment="1">
      <alignment horizontal="center"/>
    </xf>
    <xf numFmtId="2" fontId="6" fillId="16" borderId="1" xfId="1" applyNumberFormat="1" applyFont="1" applyFill="1" applyBorder="1" applyAlignment="1">
      <alignment horizontal="center"/>
    </xf>
    <xf numFmtId="10" fontId="5" fillId="7" borderId="1" xfId="1" applyNumberFormat="1" applyFont="1" applyFill="1" applyBorder="1" applyAlignment="1">
      <alignment horizontal="center"/>
    </xf>
    <xf numFmtId="2" fontId="5" fillId="7" borderId="1" xfId="1" applyNumberFormat="1" applyFont="1" applyFill="1" applyBorder="1" applyAlignment="1">
      <alignment horizontal="center"/>
    </xf>
    <xf numFmtId="0" fontId="4" fillId="2" borderId="0" xfId="1" applyFont="1" applyFill="1" applyAlignment="1">
      <alignment horizontal="center"/>
    </xf>
    <xf numFmtId="0" fontId="4" fillId="2" borderId="0" xfId="1" applyFont="1" applyFill="1" applyAlignment="1">
      <alignment horizontal="left"/>
    </xf>
    <xf numFmtId="0" fontId="18" fillId="17" borderId="2" xfId="1" applyFont="1" applyFill="1" applyBorder="1" applyAlignment="1">
      <alignment horizontal="center" vertical="center"/>
    </xf>
    <xf numFmtId="0" fontId="19" fillId="2" borderId="0" xfId="1" applyFont="1" applyFill="1" applyAlignment="1">
      <alignment horizontal="center" vertical="center"/>
    </xf>
    <xf numFmtId="2" fontId="20" fillId="17" borderId="2" xfId="1" applyNumberFormat="1" applyFont="1" applyFill="1" applyBorder="1" applyAlignment="1">
      <alignment horizontal="center" vertical="center"/>
    </xf>
    <xf numFmtId="10" fontId="18" fillId="17" borderId="2" xfId="1" applyNumberFormat="1" applyFont="1" applyFill="1" applyBorder="1" applyAlignment="1">
      <alignment horizontal="center" vertical="center"/>
    </xf>
    <xf numFmtId="2" fontId="18" fillId="17" borderId="2" xfId="1" applyNumberFormat="1" applyFont="1" applyFill="1" applyBorder="1" applyAlignment="1">
      <alignment horizontal="center" vertical="center"/>
    </xf>
    <xf numFmtId="0" fontId="20" fillId="17" borderId="2" xfId="1" applyFont="1" applyFill="1" applyBorder="1" applyAlignment="1">
      <alignment horizontal="center" vertical="center"/>
    </xf>
    <xf numFmtId="0" fontId="1" fillId="17" borderId="0" xfId="1" applyFill="1" applyAlignment="1">
      <alignment horizontal="center"/>
    </xf>
    <xf numFmtId="0" fontId="3" fillId="17" borderId="0" xfId="1" applyFont="1" applyFill="1" applyAlignment="1">
      <alignment horizontal="center"/>
    </xf>
    <xf numFmtId="0" fontId="5" fillId="17" borderId="0" xfId="1" applyFont="1" applyFill="1" applyAlignment="1">
      <alignment horizontal="center"/>
    </xf>
    <xf numFmtId="0" fontId="6" fillId="17" borderId="0" xfId="1" applyFont="1" applyFill="1" applyAlignment="1">
      <alignment horizontal="center"/>
    </xf>
    <xf numFmtId="10" fontId="6" fillId="17" borderId="0" xfId="1" applyNumberFormat="1" applyFont="1" applyFill="1" applyAlignment="1">
      <alignment horizontal="center"/>
    </xf>
    <xf numFmtId="2" fontId="6" fillId="17" borderId="0" xfId="1" applyNumberFormat="1" applyFont="1" applyFill="1" applyAlignment="1">
      <alignment horizontal="center"/>
    </xf>
    <xf numFmtId="0" fontId="16" fillId="18" borderId="0" xfId="1" applyFont="1" applyFill="1" applyAlignment="1">
      <alignment horizontal="center"/>
    </xf>
    <xf numFmtId="0" fontId="17" fillId="18" borderId="0" xfId="1" applyFont="1" applyFill="1" applyAlignment="1">
      <alignment horizontal="center"/>
    </xf>
    <xf numFmtId="10" fontId="17" fillId="18" borderId="0" xfId="1" applyNumberFormat="1" applyFont="1" applyFill="1" applyAlignment="1">
      <alignment horizontal="center"/>
    </xf>
    <xf numFmtId="2" fontId="17" fillId="18" borderId="0" xfId="1" applyNumberFormat="1" applyFont="1" applyFill="1" applyAlignment="1">
      <alignment horizontal="center"/>
    </xf>
    <xf numFmtId="10" fontId="5" fillId="17" borderId="0" xfId="1" applyNumberFormat="1" applyFont="1" applyFill="1" applyAlignment="1">
      <alignment horizontal="center"/>
    </xf>
    <xf numFmtId="2" fontId="5" fillId="17" borderId="0" xfId="1" applyNumberFormat="1" applyFont="1" applyFill="1" applyAlignment="1">
      <alignment horizontal="center"/>
    </xf>
    <xf numFmtId="0" fontId="4" fillId="17" borderId="0" xfId="1" applyFont="1" applyFill="1" applyAlignment="1">
      <alignment horizontal="center"/>
    </xf>
    <xf numFmtId="0" fontId="21" fillId="17" borderId="0" xfId="1" applyFont="1" applyFill="1" applyAlignment="1">
      <alignment horizontal="center"/>
    </xf>
    <xf numFmtId="0" fontId="22" fillId="17" borderId="0" xfId="1" applyFont="1" applyFill="1" applyAlignment="1">
      <alignment horizontal="center"/>
    </xf>
    <xf numFmtId="0" fontId="2" fillId="17" borderId="0" xfId="1" applyFont="1" applyFill="1" applyAlignment="1">
      <alignment horizontal="center"/>
    </xf>
    <xf numFmtId="0" fontId="12" fillId="17" borderId="0" xfId="1" applyFont="1" applyFill="1" applyAlignment="1">
      <alignment horizontal="center"/>
    </xf>
    <xf numFmtId="0" fontId="5" fillId="17" borderId="0" xfId="0" applyFont="1" applyFill="1" applyAlignment="1">
      <alignment horizontal="center" vertical="center"/>
    </xf>
    <xf numFmtId="2" fontId="6" fillId="17" borderId="0" xfId="0" applyNumberFormat="1" applyFont="1" applyFill="1" applyAlignment="1">
      <alignment horizontal="center" vertical="center"/>
    </xf>
    <xf numFmtId="0" fontId="6" fillId="17" borderId="0" xfId="0" applyFont="1" applyFill="1" applyAlignment="1">
      <alignment horizontal="center" vertical="center"/>
    </xf>
    <xf numFmtId="0" fontId="12" fillId="17" borderId="0" xfId="1" applyFont="1" applyFill="1" applyAlignment="1">
      <alignment horizontal="left"/>
    </xf>
    <xf numFmtId="0" fontId="23" fillId="17" borderId="0" xfId="1" applyFont="1" applyFill="1" applyAlignment="1">
      <alignment horizontal="center"/>
    </xf>
    <xf numFmtId="0" fontId="24" fillId="0" borderId="0" xfId="0" applyFont="1"/>
    <xf numFmtId="0" fontId="25" fillId="0" borderId="0" xfId="0" applyFont="1"/>
    <xf numFmtId="0" fontId="4" fillId="2" borderId="0" xfId="0" applyFont="1" applyFill="1" applyAlignment="1">
      <alignment horizontal="left" vertical="center"/>
    </xf>
    <xf numFmtId="0" fontId="0" fillId="2" borderId="0" xfId="0" applyFill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6" fillId="19" borderId="1" xfId="0" applyFont="1" applyFill="1" applyBorder="1" applyAlignment="1">
      <alignment horizontal="center" vertical="center"/>
    </xf>
    <xf numFmtId="10" fontId="6" fillId="19" borderId="1" xfId="0" applyNumberFormat="1" applyFont="1" applyFill="1" applyBorder="1" applyAlignment="1">
      <alignment horizontal="center" vertical="center"/>
    </xf>
    <xf numFmtId="2" fontId="6" fillId="19" borderId="1" xfId="0" applyNumberFormat="1" applyFont="1" applyFill="1" applyBorder="1" applyAlignment="1">
      <alignment horizontal="center" vertical="center"/>
    </xf>
    <xf numFmtId="0" fontId="6" fillId="20" borderId="1" xfId="0" applyFont="1" applyFill="1" applyBorder="1" applyAlignment="1">
      <alignment horizontal="center" vertical="center"/>
    </xf>
    <xf numFmtId="10" fontId="6" fillId="20" borderId="1" xfId="0" applyNumberFormat="1" applyFont="1" applyFill="1" applyBorder="1" applyAlignment="1">
      <alignment horizontal="center" vertical="center"/>
    </xf>
    <xf numFmtId="2" fontId="6" fillId="20" borderId="1" xfId="0" applyNumberFormat="1" applyFont="1" applyFill="1" applyBorder="1" applyAlignment="1">
      <alignment horizontal="center" vertical="center"/>
    </xf>
    <xf numFmtId="0" fontId="16" fillId="21" borderId="1" xfId="0" applyFont="1" applyFill="1" applyBorder="1" applyAlignment="1">
      <alignment horizontal="center" vertical="center"/>
    </xf>
    <xf numFmtId="0" fontId="17" fillId="22" borderId="1" xfId="0" applyFont="1" applyFill="1" applyBorder="1" applyAlignment="1">
      <alignment horizontal="center" vertical="center"/>
    </xf>
    <xf numFmtId="10" fontId="17" fillId="22" borderId="1" xfId="0" applyNumberFormat="1" applyFont="1" applyFill="1" applyBorder="1" applyAlignment="1">
      <alignment horizontal="center" vertical="center"/>
    </xf>
    <xf numFmtId="2" fontId="17" fillId="22" borderId="1" xfId="0" applyNumberFormat="1" applyFont="1" applyFill="1" applyBorder="1" applyAlignment="1">
      <alignment horizontal="center" vertical="center"/>
    </xf>
    <xf numFmtId="0" fontId="17" fillId="23" borderId="1" xfId="0" applyFont="1" applyFill="1" applyBorder="1" applyAlignment="1">
      <alignment horizontal="center" vertical="center"/>
    </xf>
    <xf numFmtId="10" fontId="17" fillId="23" borderId="1" xfId="0" applyNumberFormat="1" applyFont="1" applyFill="1" applyBorder="1" applyAlignment="1">
      <alignment horizontal="center" vertical="center"/>
    </xf>
    <xf numFmtId="2" fontId="17" fillId="23" borderId="1" xfId="0" applyNumberFormat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6" fillId="8" borderId="1" xfId="0" applyFont="1" applyFill="1" applyBorder="1" applyAlignment="1">
      <alignment horizontal="center" vertical="center"/>
    </xf>
    <xf numFmtId="10" fontId="6" fillId="8" borderId="1" xfId="0" applyNumberFormat="1" applyFont="1" applyFill="1" applyBorder="1" applyAlignment="1">
      <alignment horizontal="center" vertical="center"/>
    </xf>
    <xf numFmtId="2" fontId="6" fillId="8" borderId="1" xfId="0" applyNumberFormat="1" applyFont="1" applyFill="1" applyBorder="1" applyAlignment="1">
      <alignment horizontal="center" vertical="center"/>
    </xf>
    <xf numFmtId="0" fontId="6" fillId="15" borderId="1" xfId="0" applyFont="1" applyFill="1" applyBorder="1" applyAlignment="1">
      <alignment horizontal="center" vertical="center"/>
    </xf>
    <xf numFmtId="10" fontId="6" fillId="15" borderId="1" xfId="0" applyNumberFormat="1" applyFont="1" applyFill="1" applyBorder="1" applyAlignment="1">
      <alignment horizontal="center" vertical="center"/>
    </xf>
    <xf numFmtId="2" fontId="6" fillId="15" borderId="1" xfId="0" applyNumberFormat="1" applyFont="1" applyFill="1" applyBorder="1" applyAlignment="1">
      <alignment horizontal="center" vertical="center"/>
    </xf>
    <xf numFmtId="0" fontId="6" fillId="10" borderId="1" xfId="0" applyFont="1" applyFill="1" applyBorder="1" applyAlignment="1">
      <alignment horizontal="center" vertical="center"/>
    </xf>
    <xf numFmtId="10" fontId="6" fillId="10" borderId="1" xfId="0" applyNumberFormat="1" applyFont="1" applyFill="1" applyBorder="1" applyAlignment="1">
      <alignment horizontal="center" vertical="center"/>
    </xf>
    <xf numFmtId="2" fontId="6" fillId="10" borderId="1" xfId="0" applyNumberFormat="1" applyFont="1" applyFill="1" applyBorder="1" applyAlignment="1">
      <alignment horizontal="center" vertical="center"/>
    </xf>
    <xf numFmtId="0" fontId="6" fillId="11" borderId="1" xfId="0" applyFont="1" applyFill="1" applyBorder="1" applyAlignment="1">
      <alignment horizontal="center" vertical="center"/>
    </xf>
    <xf numFmtId="10" fontId="6" fillId="11" borderId="1" xfId="0" applyNumberFormat="1" applyFont="1" applyFill="1" applyBorder="1" applyAlignment="1">
      <alignment horizontal="center" vertical="center"/>
    </xf>
    <xf numFmtId="2" fontId="6" fillId="11" borderId="1" xfId="0" applyNumberFormat="1" applyFont="1" applyFill="1" applyBorder="1" applyAlignment="1">
      <alignment horizontal="center" vertical="center"/>
    </xf>
    <xf numFmtId="0" fontId="6" fillId="12" borderId="1" xfId="0" applyFont="1" applyFill="1" applyBorder="1" applyAlignment="1">
      <alignment horizontal="center" vertical="center"/>
    </xf>
    <xf numFmtId="10" fontId="6" fillId="12" borderId="1" xfId="0" applyNumberFormat="1" applyFont="1" applyFill="1" applyBorder="1" applyAlignment="1">
      <alignment horizontal="center" vertical="center"/>
    </xf>
    <xf numFmtId="2" fontId="6" fillId="12" borderId="1" xfId="0" applyNumberFormat="1" applyFont="1" applyFill="1" applyBorder="1" applyAlignment="1">
      <alignment horizontal="center" vertical="center"/>
    </xf>
    <xf numFmtId="0" fontId="6" fillId="24" borderId="1" xfId="0" applyFont="1" applyFill="1" applyBorder="1" applyAlignment="1">
      <alignment horizontal="center" vertical="center"/>
    </xf>
    <xf numFmtId="10" fontId="6" fillId="24" borderId="1" xfId="0" applyNumberFormat="1" applyFont="1" applyFill="1" applyBorder="1" applyAlignment="1">
      <alignment horizontal="center" vertical="center"/>
    </xf>
    <xf numFmtId="2" fontId="6" fillId="24" borderId="1" xfId="0" applyNumberFormat="1" applyFont="1" applyFill="1" applyBorder="1" applyAlignment="1">
      <alignment horizontal="center" vertical="center"/>
    </xf>
    <xf numFmtId="10" fontId="5" fillId="7" borderId="1" xfId="0" applyNumberFormat="1" applyFont="1" applyFill="1" applyBorder="1" applyAlignment="1">
      <alignment horizontal="center" vertical="center"/>
    </xf>
    <xf numFmtId="2" fontId="5" fillId="7" borderId="1" xfId="0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5" borderId="0" xfId="0" applyFont="1" applyFill="1" applyAlignment="1">
      <alignment horizontal="center" vertical="center"/>
    </xf>
    <xf numFmtId="0" fontId="4" fillId="26" borderId="0" xfId="0" applyFont="1" applyFill="1" applyAlignment="1">
      <alignment horizontal="center" vertical="center"/>
    </xf>
    <xf numFmtId="0" fontId="4" fillId="27" borderId="0" xfId="0" applyFont="1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4" fillId="20" borderId="0" xfId="0" applyFont="1" applyFill="1" applyAlignment="1">
      <alignment horizontal="center" vertical="center"/>
    </xf>
    <xf numFmtId="0" fontId="5" fillId="28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6" fillId="29" borderId="1" xfId="0" applyFont="1" applyFill="1" applyBorder="1" applyAlignment="1">
      <alignment horizontal="center" vertical="center"/>
    </xf>
    <xf numFmtId="10" fontId="6" fillId="29" borderId="1" xfId="0" applyNumberFormat="1" applyFont="1" applyFill="1" applyBorder="1" applyAlignment="1">
      <alignment horizontal="center" vertical="center"/>
    </xf>
    <xf numFmtId="2" fontId="6" fillId="29" borderId="1" xfId="0" applyNumberFormat="1" applyFont="1" applyFill="1" applyBorder="1" applyAlignment="1">
      <alignment horizontal="center" vertical="center"/>
    </xf>
    <xf numFmtId="0" fontId="6" fillId="30" borderId="1" xfId="0" applyFont="1" applyFill="1" applyBorder="1" applyAlignment="1">
      <alignment horizontal="center" vertical="center"/>
    </xf>
    <xf numFmtId="10" fontId="6" fillId="30" borderId="1" xfId="0" applyNumberFormat="1" applyFont="1" applyFill="1" applyBorder="1" applyAlignment="1">
      <alignment horizontal="center" vertical="center"/>
    </xf>
    <xf numFmtId="2" fontId="6" fillId="30" borderId="1" xfId="0" applyNumberFormat="1" applyFont="1" applyFill="1" applyBorder="1" applyAlignment="1">
      <alignment horizontal="center" vertical="center"/>
    </xf>
    <xf numFmtId="0" fontId="26" fillId="3" borderId="1" xfId="0" applyFont="1" applyFill="1" applyBorder="1" applyAlignment="1">
      <alignment horizontal="center" vertical="center"/>
    </xf>
    <xf numFmtId="0" fontId="6" fillId="31" borderId="1" xfId="0" applyFont="1" applyFill="1" applyBorder="1" applyAlignment="1">
      <alignment horizontal="center" vertical="center"/>
    </xf>
    <xf numFmtId="10" fontId="6" fillId="31" borderId="1" xfId="0" applyNumberFormat="1" applyFont="1" applyFill="1" applyBorder="1" applyAlignment="1">
      <alignment horizontal="center" vertical="center"/>
    </xf>
    <xf numFmtId="2" fontId="6" fillId="31" borderId="1" xfId="0" applyNumberFormat="1" applyFont="1" applyFill="1" applyBorder="1" applyAlignment="1">
      <alignment horizontal="center" vertical="center"/>
    </xf>
    <xf numFmtId="0" fontId="6" fillId="32" borderId="1" xfId="0" applyFont="1" applyFill="1" applyBorder="1" applyAlignment="1">
      <alignment horizontal="center" vertical="center"/>
    </xf>
    <xf numFmtId="10" fontId="6" fillId="32" borderId="1" xfId="0" applyNumberFormat="1" applyFont="1" applyFill="1" applyBorder="1" applyAlignment="1">
      <alignment horizontal="center" vertical="center"/>
    </xf>
    <xf numFmtId="2" fontId="6" fillId="32" borderId="1" xfId="0" applyNumberFormat="1" applyFont="1" applyFill="1" applyBorder="1" applyAlignment="1">
      <alignment horizontal="center" vertical="center"/>
    </xf>
    <xf numFmtId="10" fontId="5" fillId="28" borderId="1" xfId="0" applyNumberFormat="1" applyFont="1" applyFill="1" applyBorder="1" applyAlignment="1">
      <alignment horizontal="center" vertical="center"/>
    </xf>
    <xf numFmtId="2" fontId="5" fillId="28" borderId="1" xfId="0" applyNumberFormat="1" applyFont="1" applyFill="1" applyBorder="1" applyAlignment="1">
      <alignment horizontal="center" vertical="center"/>
    </xf>
    <xf numFmtId="0" fontId="4" fillId="33" borderId="0" xfId="0" applyFont="1" applyFill="1" applyAlignment="1">
      <alignment horizontal="center" vertical="center"/>
    </xf>
    <xf numFmtId="0" fontId="17" fillId="34" borderId="5" xfId="0" applyFont="1" applyFill="1" applyBorder="1" applyAlignment="1">
      <alignment horizontal="center" vertical="center"/>
    </xf>
    <xf numFmtId="0" fontId="17" fillId="34" borderId="6" xfId="0" applyFont="1" applyFill="1" applyBorder="1" applyAlignment="1">
      <alignment horizontal="center" vertical="center"/>
    </xf>
    <xf numFmtId="10" fontId="17" fillId="34" borderId="6" xfId="0" applyNumberFormat="1" applyFont="1" applyFill="1" applyBorder="1" applyAlignment="1">
      <alignment horizontal="center" vertical="center"/>
    </xf>
    <xf numFmtId="2" fontId="17" fillId="34" borderId="6" xfId="0" applyNumberFormat="1" applyFont="1" applyFill="1" applyBorder="1" applyAlignment="1">
      <alignment horizontal="center" vertical="center"/>
    </xf>
    <xf numFmtId="0" fontId="17" fillId="35" borderId="7" xfId="0" applyFont="1" applyFill="1" applyBorder="1" applyAlignment="1">
      <alignment horizontal="center" vertical="center"/>
    </xf>
    <xf numFmtId="0" fontId="17" fillId="35" borderId="8" xfId="0" applyFont="1" applyFill="1" applyBorder="1" applyAlignment="1">
      <alignment horizontal="center" vertical="center"/>
    </xf>
    <xf numFmtId="10" fontId="17" fillId="35" borderId="8" xfId="0" applyNumberFormat="1" applyFont="1" applyFill="1" applyBorder="1" applyAlignment="1">
      <alignment horizontal="center" vertical="center"/>
    </xf>
    <xf numFmtId="2" fontId="17" fillId="35" borderId="8" xfId="0" applyNumberFormat="1" applyFont="1" applyFill="1" applyBorder="1" applyAlignment="1">
      <alignment horizontal="center" vertical="center"/>
    </xf>
    <xf numFmtId="0" fontId="17" fillId="36" borderId="7" xfId="0" applyFont="1" applyFill="1" applyBorder="1" applyAlignment="1">
      <alignment horizontal="center" vertical="center"/>
    </xf>
    <xf numFmtId="0" fontId="17" fillId="36" borderId="8" xfId="0" applyFont="1" applyFill="1" applyBorder="1" applyAlignment="1">
      <alignment horizontal="center" vertical="center"/>
    </xf>
    <xf numFmtId="10" fontId="17" fillId="36" borderId="8" xfId="0" applyNumberFormat="1" applyFont="1" applyFill="1" applyBorder="1" applyAlignment="1">
      <alignment horizontal="center" vertical="center"/>
    </xf>
    <xf numFmtId="2" fontId="17" fillId="36" borderId="8" xfId="0" applyNumberFormat="1" applyFont="1" applyFill="1" applyBorder="1" applyAlignment="1">
      <alignment horizontal="center" vertical="center"/>
    </xf>
    <xf numFmtId="0" fontId="17" fillId="37" borderId="7" xfId="0" applyFont="1" applyFill="1" applyBorder="1" applyAlignment="1">
      <alignment horizontal="center" vertical="center"/>
    </xf>
    <xf numFmtId="0" fontId="17" fillId="37" borderId="8" xfId="0" applyFont="1" applyFill="1" applyBorder="1" applyAlignment="1">
      <alignment horizontal="center" vertical="center"/>
    </xf>
    <xf numFmtId="10" fontId="17" fillId="37" borderId="8" xfId="0" applyNumberFormat="1" applyFont="1" applyFill="1" applyBorder="1" applyAlignment="1">
      <alignment horizontal="center" vertical="center"/>
    </xf>
    <xf numFmtId="2" fontId="17" fillId="37" borderId="8" xfId="0" applyNumberFormat="1" applyFont="1" applyFill="1" applyBorder="1" applyAlignment="1">
      <alignment horizontal="center" vertical="center"/>
    </xf>
    <xf numFmtId="0" fontId="17" fillId="38" borderId="7" xfId="0" applyFont="1" applyFill="1" applyBorder="1" applyAlignment="1">
      <alignment horizontal="center" vertical="center"/>
    </xf>
    <xf numFmtId="0" fontId="17" fillId="38" borderId="8" xfId="0" applyFont="1" applyFill="1" applyBorder="1" applyAlignment="1">
      <alignment horizontal="center" vertical="center"/>
    </xf>
    <xf numFmtId="10" fontId="17" fillId="38" borderId="8" xfId="0" applyNumberFormat="1" applyFont="1" applyFill="1" applyBorder="1" applyAlignment="1">
      <alignment horizontal="center" vertical="center"/>
    </xf>
    <xf numFmtId="2" fontId="17" fillId="38" borderId="8" xfId="0" applyNumberFormat="1" applyFont="1" applyFill="1" applyBorder="1" applyAlignment="1">
      <alignment horizontal="center" vertical="center"/>
    </xf>
    <xf numFmtId="0" fontId="17" fillId="39" borderId="7" xfId="0" applyFont="1" applyFill="1" applyBorder="1" applyAlignment="1">
      <alignment horizontal="center" vertical="center"/>
    </xf>
    <xf numFmtId="0" fontId="17" fillId="39" borderId="8" xfId="0" applyFont="1" applyFill="1" applyBorder="1" applyAlignment="1">
      <alignment horizontal="center" vertical="center"/>
    </xf>
    <xf numFmtId="10" fontId="17" fillId="39" borderId="8" xfId="0" applyNumberFormat="1" applyFont="1" applyFill="1" applyBorder="1" applyAlignment="1">
      <alignment horizontal="center" vertical="center"/>
    </xf>
    <xf numFmtId="2" fontId="17" fillId="39" borderId="8" xfId="0" applyNumberFormat="1" applyFont="1" applyFill="1" applyBorder="1" applyAlignment="1">
      <alignment horizontal="center" vertical="center"/>
    </xf>
    <xf numFmtId="0" fontId="16" fillId="40" borderId="7" xfId="0" applyFont="1" applyFill="1" applyBorder="1" applyAlignment="1">
      <alignment horizontal="center" vertical="center"/>
    </xf>
    <xf numFmtId="0" fontId="16" fillId="40" borderId="8" xfId="0" applyFont="1" applyFill="1" applyBorder="1" applyAlignment="1">
      <alignment horizontal="center" vertical="center"/>
    </xf>
    <xf numFmtId="10" fontId="16" fillId="40" borderId="8" xfId="0" applyNumberFormat="1" applyFont="1" applyFill="1" applyBorder="1" applyAlignment="1">
      <alignment horizontal="center" vertical="center"/>
    </xf>
    <xf numFmtId="2" fontId="16" fillId="40" borderId="8" xfId="0" applyNumberFormat="1" applyFont="1" applyFill="1" applyBorder="1" applyAlignment="1">
      <alignment horizontal="center" vertical="center"/>
    </xf>
    <xf numFmtId="0" fontId="27" fillId="41" borderId="0" xfId="0" applyFont="1" applyFill="1" applyAlignment="1">
      <alignment horizontal="center" vertical="center"/>
    </xf>
  </cellXfs>
  <cellStyles count="2">
    <cellStyle name="Normal" xfId="0" builtinId="0"/>
    <cellStyle name="Normal 2" xfId="1" xr:uid="{4405C608-E914-43CD-A452-3DF9B740F23B}"/>
  </cellStyles>
  <dxfs count="0"/>
  <tableStyles count="0" defaultTableStyle="TableStyleMedium2" defaultPivotStyle="PivotStyleLight16"/>
  <colors>
    <mruColors>
      <color rgb="FFF9CB49"/>
      <color rgb="FF000000"/>
      <color rgb="FF44B3E1"/>
      <color rgb="FF99FF66"/>
      <color rgb="FFFF99CC"/>
      <color rgb="FFFF3300"/>
      <color rgb="FFD88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playhq.com/public/profile/4044fd96-cea3-4b3c-898b-d773b2be83d5/statistics?tenant=basketball-victoria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0CE90-9A2E-4CB9-986B-E5212230D270}">
  <sheetPr codeName="Sheet9"/>
  <dimension ref="A1:TS423"/>
  <sheetViews>
    <sheetView tabSelected="1" topLeftCell="A388" zoomScale="38" zoomScaleNormal="55" workbookViewId="0">
      <selection activeCell="D388" sqref="D1:D1048576"/>
    </sheetView>
  </sheetViews>
  <sheetFormatPr baseColWidth="10" defaultColWidth="18.6640625" defaultRowHeight="40" customHeight="1" x14ac:dyDescent="0.2"/>
  <cols>
    <col min="1" max="1" width="28" style="1" bestFit="1" customWidth="1"/>
    <col min="2" max="2" width="28" style="1" customWidth="1"/>
    <col min="3" max="21" width="18.6640625" style="1"/>
    <col min="22" max="25" width="18.83203125" style="1" bestFit="1" customWidth="1"/>
    <col min="26" max="26" width="21.5" style="1" bestFit="1" customWidth="1"/>
    <col min="27" max="16384" width="18.6640625" style="1"/>
  </cols>
  <sheetData>
    <row r="1" spans="1:539" ht="40" customHeight="1" x14ac:dyDescent="0.2">
      <c r="A1" s="7" t="s">
        <v>23</v>
      </c>
      <c r="B1" s="7" t="s">
        <v>29</v>
      </c>
      <c r="C1" s="7" t="s">
        <v>26</v>
      </c>
      <c r="D1" s="7" t="s">
        <v>25</v>
      </c>
      <c r="E1" s="17" t="s">
        <v>0</v>
      </c>
      <c r="F1" s="17" t="s">
        <v>1</v>
      </c>
      <c r="G1" s="17" t="s">
        <v>2</v>
      </c>
      <c r="H1" s="17" t="s">
        <v>3</v>
      </c>
      <c r="I1" s="17" t="s">
        <v>4</v>
      </c>
      <c r="J1" s="17" t="s">
        <v>5</v>
      </c>
      <c r="K1" s="17" t="s">
        <v>6</v>
      </c>
      <c r="L1" s="17" t="s">
        <v>7</v>
      </c>
      <c r="M1" s="17" t="s">
        <v>8</v>
      </c>
      <c r="N1" s="17" t="s">
        <v>9</v>
      </c>
      <c r="O1" s="17" t="s">
        <v>10</v>
      </c>
      <c r="P1" s="17" t="s">
        <v>11</v>
      </c>
      <c r="Q1" s="17" t="s">
        <v>12</v>
      </c>
      <c r="R1" s="17" t="s">
        <v>13</v>
      </c>
      <c r="S1" s="17" t="s">
        <v>14</v>
      </c>
      <c r="T1" s="17" t="s">
        <v>15</v>
      </c>
      <c r="U1" s="17" t="s">
        <v>16</v>
      </c>
      <c r="V1" s="17" t="s">
        <v>17</v>
      </c>
      <c r="W1" s="17" t="s">
        <v>18</v>
      </c>
      <c r="X1" s="17" t="s">
        <v>19</v>
      </c>
      <c r="Y1" s="17" t="s">
        <v>20</v>
      </c>
      <c r="Z1" s="17" t="s">
        <v>21</v>
      </c>
      <c r="AA1" s="17" t="s">
        <v>32</v>
      </c>
      <c r="BB1" s="3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5"/>
      <c r="BU1" s="5"/>
      <c r="BV1" s="5"/>
      <c r="BW1" s="5"/>
      <c r="BX1" s="6"/>
    </row>
    <row r="2" spans="1:539" s="18" customFormat="1" ht="40" customHeight="1" x14ac:dyDescent="0.2">
      <c r="A2" s="7" t="str">
        <f>D8</f>
        <v>MAGIC 2</v>
      </c>
      <c r="B2" s="7">
        <v>7</v>
      </c>
      <c r="C2" s="7">
        <v>1</v>
      </c>
      <c r="D2" s="7" t="s">
        <v>40</v>
      </c>
      <c r="E2" s="19">
        <v>9</v>
      </c>
      <c r="F2" s="19">
        <v>15</v>
      </c>
      <c r="G2" s="19">
        <v>0</v>
      </c>
      <c r="H2" s="19">
        <v>5</v>
      </c>
      <c r="I2" s="19">
        <f>E2+G2</f>
        <v>9</v>
      </c>
      <c r="J2" s="19">
        <f>F2+H2</f>
        <v>20</v>
      </c>
      <c r="K2" s="19">
        <v>3</v>
      </c>
      <c r="L2" s="19">
        <v>4</v>
      </c>
      <c r="M2" s="19">
        <v>2</v>
      </c>
      <c r="N2" s="19">
        <v>9</v>
      </c>
      <c r="O2" s="19">
        <f>E2*2+G2*3+K2</f>
        <v>21</v>
      </c>
      <c r="P2" s="19">
        <f>M2+N2</f>
        <v>11</v>
      </c>
      <c r="Q2" s="19">
        <v>11</v>
      </c>
      <c r="R2" s="19">
        <v>0</v>
      </c>
      <c r="S2" s="19">
        <v>1</v>
      </c>
      <c r="T2" s="19">
        <v>4</v>
      </c>
      <c r="U2" s="19">
        <v>0</v>
      </c>
      <c r="V2" s="20">
        <f>IFERROR(I2/J2,0)</f>
        <v>0.45</v>
      </c>
      <c r="W2" s="20">
        <f>IFERROR(K2/L2,0)</f>
        <v>0.75</v>
      </c>
      <c r="X2" s="20">
        <f>IFERROR(E2/F2,0)</f>
        <v>0.6</v>
      </c>
      <c r="Y2" s="20">
        <f>IFERROR(G2/H2,0)</f>
        <v>0</v>
      </c>
      <c r="Z2" s="21">
        <f>(O2)+(0.4*I2)-(0.7*J2)-(0.4*(L2-K2))+(0.7*M2)+(0.3*N2)+S2+(0.7*Q2)+(0.7*R2)-(0.4*U2)-T2</f>
        <v>19</v>
      </c>
      <c r="AA2" s="21" t="s">
        <v>33</v>
      </c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65"/>
      <c r="AU2" s="65"/>
      <c r="AV2" s="65"/>
      <c r="AW2" s="65"/>
      <c r="AX2" s="65"/>
      <c r="AY2" s="65"/>
      <c r="AZ2" s="65"/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65"/>
      <c r="BP2" s="65"/>
      <c r="BQ2" s="65"/>
      <c r="BR2" s="65"/>
      <c r="BS2" s="65"/>
      <c r="BT2" s="65"/>
      <c r="BU2" s="65"/>
      <c r="BV2" s="65"/>
      <c r="BW2" s="65"/>
      <c r="BX2" s="65"/>
      <c r="BY2" s="65"/>
      <c r="BZ2" s="65"/>
      <c r="CA2" s="65"/>
      <c r="CB2" s="65"/>
      <c r="CC2" s="65"/>
      <c r="CD2" s="65"/>
      <c r="CE2" s="65"/>
      <c r="CF2" s="65"/>
      <c r="CG2" s="65"/>
      <c r="CH2" s="65"/>
      <c r="CI2" s="65"/>
      <c r="CJ2" s="65"/>
      <c r="CK2" s="65"/>
      <c r="CL2" s="65"/>
      <c r="CM2" s="65"/>
      <c r="CN2" s="65"/>
      <c r="CO2" s="65"/>
      <c r="CP2" s="65"/>
      <c r="CQ2" s="65"/>
      <c r="CR2" s="65"/>
      <c r="CS2" s="65"/>
      <c r="CT2" s="65"/>
      <c r="CU2" s="65"/>
      <c r="CV2" s="65"/>
      <c r="CW2" s="65"/>
      <c r="CX2" s="65"/>
      <c r="CY2" s="65"/>
      <c r="CZ2" s="65"/>
      <c r="DA2" s="65"/>
      <c r="DB2" s="65"/>
      <c r="DC2" s="65"/>
      <c r="DD2" s="65"/>
      <c r="DE2" s="65"/>
      <c r="DF2" s="65"/>
      <c r="DG2" s="65"/>
      <c r="DH2" s="65"/>
      <c r="DI2" s="65"/>
      <c r="DJ2" s="65"/>
      <c r="DK2" s="65"/>
      <c r="DL2" s="65"/>
      <c r="DM2" s="65"/>
      <c r="DN2" s="65"/>
      <c r="DO2" s="65"/>
      <c r="DP2" s="65"/>
      <c r="DQ2" s="65"/>
      <c r="DR2" s="65"/>
      <c r="DS2" s="65"/>
      <c r="DT2" s="65"/>
      <c r="DU2" s="65"/>
      <c r="DV2" s="65"/>
      <c r="DW2" s="65"/>
      <c r="DX2" s="65"/>
      <c r="DY2" s="65"/>
      <c r="DZ2" s="65"/>
      <c r="EA2" s="65"/>
      <c r="EB2" s="65"/>
      <c r="EC2" s="65"/>
      <c r="ED2" s="65"/>
      <c r="EE2" s="65"/>
      <c r="EF2" s="65"/>
      <c r="EG2" s="65"/>
      <c r="EH2" s="65"/>
      <c r="EI2" s="65"/>
      <c r="EJ2" s="65"/>
      <c r="EK2" s="65"/>
      <c r="EL2" s="65"/>
      <c r="EM2" s="65"/>
      <c r="EN2" s="65"/>
      <c r="EO2" s="65"/>
      <c r="EP2" s="65"/>
      <c r="EQ2" s="65"/>
      <c r="ER2" s="65"/>
      <c r="ES2" s="65"/>
      <c r="ET2" s="65"/>
      <c r="EU2" s="65"/>
      <c r="EV2" s="65"/>
      <c r="EW2" s="65"/>
      <c r="EX2" s="65"/>
      <c r="EY2" s="65"/>
      <c r="EZ2" s="65"/>
      <c r="FA2" s="65"/>
      <c r="FB2" s="65"/>
      <c r="FC2" s="65"/>
      <c r="FD2" s="65"/>
      <c r="FE2" s="65"/>
      <c r="FF2" s="65"/>
      <c r="FG2" s="65"/>
      <c r="FH2" s="65"/>
      <c r="FI2" s="65"/>
      <c r="FJ2" s="65"/>
      <c r="FK2" s="65"/>
      <c r="FL2" s="65"/>
      <c r="FM2" s="65"/>
      <c r="FN2" s="65"/>
      <c r="FO2" s="65"/>
      <c r="FP2" s="65"/>
      <c r="FQ2" s="65"/>
      <c r="FR2" s="65"/>
      <c r="FS2" s="65"/>
      <c r="FT2" s="65"/>
      <c r="FU2" s="65"/>
      <c r="FV2" s="65"/>
      <c r="FW2" s="65"/>
      <c r="FX2" s="65"/>
      <c r="FY2" s="65"/>
      <c r="FZ2" s="65"/>
      <c r="GA2" s="65"/>
      <c r="GB2" s="65"/>
      <c r="GC2" s="65"/>
      <c r="GD2" s="65"/>
      <c r="GE2" s="65"/>
      <c r="GF2" s="65"/>
      <c r="GG2" s="65"/>
      <c r="GH2" s="65"/>
      <c r="GI2" s="65"/>
      <c r="GJ2" s="65"/>
      <c r="GK2" s="65"/>
      <c r="GL2" s="65"/>
      <c r="GM2" s="65"/>
      <c r="GN2" s="65"/>
      <c r="GO2" s="65"/>
      <c r="GP2" s="65"/>
      <c r="GQ2" s="65"/>
      <c r="GR2" s="65"/>
      <c r="GS2" s="65"/>
      <c r="GT2" s="65"/>
      <c r="GU2" s="65"/>
      <c r="GV2" s="65"/>
      <c r="GW2" s="65"/>
      <c r="GX2" s="65"/>
      <c r="GY2" s="65"/>
      <c r="GZ2" s="65"/>
      <c r="HA2" s="65"/>
      <c r="HB2" s="65"/>
      <c r="HC2" s="65"/>
      <c r="HD2" s="65"/>
      <c r="HE2" s="65"/>
      <c r="HF2" s="65"/>
      <c r="HG2" s="65"/>
      <c r="HH2" s="65"/>
      <c r="HI2" s="65"/>
      <c r="HJ2" s="65"/>
      <c r="HK2" s="65"/>
      <c r="HL2" s="65"/>
      <c r="HM2" s="65"/>
      <c r="HN2" s="65"/>
      <c r="HO2" s="65"/>
      <c r="HP2" s="65"/>
      <c r="HQ2" s="65"/>
      <c r="HR2" s="65"/>
      <c r="HS2" s="65"/>
      <c r="HT2" s="65"/>
      <c r="HU2" s="65"/>
      <c r="HV2" s="65"/>
      <c r="HW2" s="65"/>
      <c r="HX2" s="65"/>
      <c r="HY2" s="65"/>
      <c r="HZ2" s="65"/>
      <c r="IA2" s="65"/>
      <c r="IB2" s="65"/>
      <c r="IC2" s="65"/>
      <c r="ID2" s="65"/>
      <c r="IE2" s="65"/>
      <c r="IF2" s="65"/>
      <c r="IG2" s="65"/>
      <c r="IH2" s="65"/>
      <c r="II2" s="65"/>
      <c r="IJ2" s="65"/>
      <c r="IK2" s="65"/>
      <c r="IL2" s="65"/>
      <c r="IM2" s="65"/>
      <c r="IN2" s="65"/>
      <c r="IO2" s="65"/>
      <c r="IP2" s="65"/>
      <c r="IQ2" s="65"/>
      <c r="IR2" s="65"/>
      <c r="IS2" s="65"/>
      <c r="IT2" s="65"/>
      <c r="IU2" s="65"/>
      <c r="IV2" s="65"/>
      <c r="IW2" s="65"/>
      <c r="IX2" s="65"/>
      <c r="IY2" s="65"/>
      <c r="IZ2" s="65"/>
      <c r="JA2" s="65"/>
      <c r="JB2" s="65"/>
      <c r="JC2" s="65"/>
      <c r="JD2" s="65"/>
      <c r="JE2" s="65"/>
      <c r="JF2" s="65"/>
      <c r="JG2" s="65"/>
      <c r="JH2" s="65"/>
      <c r="JI2" s="65"/>
      <c r="JJ2" s="65"/>
      <c r="JK2" s="65"/>
      <c r="JL2" s="65"/>
      <c r="JM2" s="65"/>
      <c r="JN2" s="65"/>
      <c r="JO2" s="65"/>
      <c r="JP2" s="65"/>
      <c r="JQ2" s="65"/>
      <c r="JR2" s="65"/>
      <c r="JS2" s="65"/>
      <c r="JT2" s="65"/>
      <c r="JU2" s="65"/>
      <c r="JV2" s="65"/>
      <c r="JW2" s="65"/>
      <c r="JX2" s="3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5"/>
      <c r="KQ2" s="5"/>
      <c r="KR2" s="5"/>
      <c r="KS2" s="5"/>
      <c r="KT2" s="6"/>
      <c r="KU2" s="3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5"/>
      <c r="LN2" s="5"/>
      <c r="LO2" s="5"/>
      <c r="LP2" s="5"/>
      <c r="LQ2" s="6"/>
      <c r="LR2" s="3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5"/>
      <c r="MK2" s="5"/>
      <c r="ML2" s="5"/>
      <c r="MM2" s="5"/>
      <c r="MN2" s="6"/>
      <c r="MO2" s="3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5"/>
      <c r="NH2" s="5"/>
      <c r="NI2" s="5"/>
      <c r="NJ2" s="5"/>
      <c r="NK2" s="6"/>
      <c r="NL2" s="3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5"/>
      <c r="OE2" s="5"/>
      <c r="OF2" s="5"/>
      <c r="OG2" s="5"/>
      <c r="OH2" s="6"/>
      <c r="OI2" s="3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5"/>
      <c r="PB2" s="5"/>
      <c r="PC2" s="5"/>
      <c r="PD2" s="5"/>
      <c r="PE2" s="6"/>
      <c r="PF2" s="3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5"/>
      <c r="PY2" s="5"/>
      <c r="PZ2" s="5"/>
      <c r="QA2" s="5"/>
      <c r="QB2" s="6"/>
      <c r="QC2" s="3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5"/>
      <c r="QV2" s="5"/>
      <c r="QW2" s="5"/>
      <c r="QX2" s="5"/>
      <c r="QY2" s="6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1"/>
      <c r="RX2" s="1"/>
      <c r="RY2" s="1"/>
      <c r="RZ2" s="1"/>
      <c r="SA2" s="1"/>
      <c r="SB2" s="1"/>
      <c r="SC2" s="1"/>
      <c r="SD2" s="1"/>
      <c r="SE2" s="1"/>
      <c r="SF2" s="1"/>
      <c r="SG2" s="1"/>
      <c r="SH2" s="1"/>
      <c r="SI2" s="1"/>
      <c r="SJ2" s="1"/>
      <c r="SK2" s="1"/>
      <c r="SL2" s="1"/>
      <c r="SM2" s="1"/>
      <c r="SN2" s="1"/>
      <c r="SO2" s="1"/>
      <c r="SP2" s="1"/>
      <c r="SQ2" s="1"/>
      <c r="SR2" s="1"/>
      <c r="SS2" s="1"/>
      <c r="ST2" s="1"/>
      <c r="SU2" s="1"/>
      <c r="SV2" s="1"/>
      <c r="SW2" s="1"/>
      <c r="SX2" s="1"/>
      <c r="SY2" s="1"/>
      <c r="SZ2" s="1"/>
      <c r="TA2" s="1"/>
      <c r="TB2" s="1"/>
      <c r="TC2" s="1"/>
      <c r="TD2" s="1"/>
      <c r="TE2" s="1"/>
      <c r="TF2" s="1"/>
      <c r="TG2" s="1"/>
      <c r="TH2" s="1"/>
      <c r="TI2" s="1"/>
      <c r="TJ2" s="1"/>
      <c r="TK2" s="1"/>
      <c r="TL2" s="1"/>
      <c r="TM2" s="1"/>
      <c r="TN2" s="1"/>
      <c r="TO2" s="1"/>
      <c r="TP2" s="1"/>
      <c r="TQ2" s="1"/>
      <c r="TR2" s="1"/>
      <c r="TS2" s="1"/>
    </row>
    <row r="3" spans="1:539" s="18" customFormat="1" ht="40" customHeight="1" x14ac:dyDescent="0.2">
      <c r="A3" s="7" t="str">
        <f>A2</f>
        <v>MAGIC 2</v>
      </c>
      <c r="B3" s="7">
        <v>7</v>
      </c>
      <c r="C3" s="7">
        <v>1</v>
      </c>
      <c r="D3" s="7" t="s">
        <v>46</v>
      </c>
      <c r="E3" s="22">
        <v>6</v>
      </c>
      <c r="F3" s="22">
        <v>7</v>
      </c>
      <c r="G3" s="22">
        <v>0</v>
      </c>
      <c r="H3" s="22">
        <v>4</v>
      </c>
      <c r="I3" s="22">
        <f t="shared" ref="I3:J6" si="0">E3+G3</f>
        <v>6</v>
      </c>
      <c r="J3" s="22">
        <f t="shared" si="0"/>
        <v>11</v>
      </c>
      <c r="K3" s="22">
        <v>0</v>
      </c>
      <c r="L3" s="22">
        <v>0</v>
      </c>
      <c r="M3" s="22">
        <v>1</v>
      </c>
      <c r="N3" s="22">
        <v>7</v>
      </c>
      <c r="O3" s="22">
        <f t="shared" ref="O3:O6" si="1">E3*2+G3*3+K3</f>
        <v>12</v>
      </c>
      <c r="P3" s="22">
        <f t="shared" ref="P3:P6" si="2">M3+N3</f>
        <v>8</v>
      </c>
      <c r="Q3" s="22">
        <v>5</v>
      </c>
      <c r="R3" s="22">
        <v>0</v>
      </c>
      <c r="S3" s="22">
        <v>2</v>
      </c>
      <c r="T3" s="22">
        <v>1</v>
      </c>
      <c r="U3" s="22">
        <v>1</v>
      </c>
      <c r="V3" s="23">
        <f t="shared" ref="V3:V6" si="3">IFERROR(I3/J3,0)</f>
        <v>0.54545454545454541</v>
      </c>
      <c r="W3" s="23">
        <f t="shared" ref="W3:W6" si="4">IFERROR(K3/L3,0)</f>
        <v>0</v>
      </c>
      <c r="X3" s="23">
        <f t="shared" ref="X3:X6" si="5">IFERROR(E3/F3,0)</f>
        <v>0.8571428571428571</v>
      </c>
      <c r="Y3" s="23">
        <f t="shared" ref="Y3:Y6" si="6">IFERROR(G3/H3,0)</f>
        <v>0</v>
      </c>
      <c r="Z3" s="24">
        <f t="shared" ref="Z3:Z6" si="7">(O3)+(0.4*I3)-(0.7*J3)-(0.4*(L3-K3))+(0.7*M3)+(0.3*N3)+S3+(0.7*Q3)+(0.7*R3)-(0.4*U3)-T3</f>
        <v>13.600000000000001</v>
      </c>
      <c r="AA3" s="24" t="str">
        <f>AA2</f>
        <v>REG</v>
      </c>
      <c r="AB3" s="65"/>
      <c r="AC3" s="65"/>
      <c r="AD3" s="65"/>
      <c r="AE3" s="65"/>
      <c r="AF3" s="65"/>
      <c r="AG3" s="65"/>
      <c r="AH3" s="65"/>
      <c r="AI3" s="65"/>
      <c r="AJ3" s="65"/>
      <c r="AK3" s="65"/>
      <c r="AL3" s="65"/>
      <c r="AM3" s="65"/>
      <c r="AN3" s="65"/>
      <c r="AO3" s="65"/>
      <c r="AP3" s="65"/>
      <c r="AQ3" s="65"/>
      <c r="AR3" s="65"/>
      <c r="AS3" s="65"/>
      <c r="AT3" s="65"/>
      <c r="AU3" s="65"/>
      <c r="AV3" s="65"/>
      <c r="AW3" s="65"/>
      <c r="AX3" s="65"/>
      <c r="AY3" s="65"/>
      <c r="AZ3" s="65"/>
      <c r="BA3" s="65"/>
      <c r="BB3" s="65"/>
      <c r="BC3" s="65"/>
      <c r="BD3" s="65"/>
      <c r="BE3" s="65"/>
      <c r="BF3" s="65"/>
      <c r="BG3" s="65"/>
      <c r="BH3" s="65"/>
      <c r="BI3" s="65"/>
      <c r="BJ3" s="65"/>
      <c r="BK3" s="65"/>
      <c r="BL3" s="65"/>
      <c r="BM3" s="65"/>
      <c r="BN3" s="65"/>
      <c r="BO3" s="65"/>
      <c r="BP3" s="65"/>
      <c r="BQ3" s="65"/>
      <c r="BR3" s="65"/>
      <c r="BS3" s="65"/>
      <c r="BT3" s="65"/>
      <c r="BU3" s="65"/>
      <c r="BV3" s="65"/>
      <c r="BW3" s="65"/>
      <c r="BX3" s="65"/>
      <c r="BY3" s="65"/>
      <c r="BZ3" s="65"/>
      <c r="CA3" s="65"/>
      <c r="CB3" s="65"/>
      <c r="CC3" s="65"/>
      <c r="CD3" s="65"/>
      <c r="CE3" s="65"/>
      <c r="CF3" s="65"/>
      <c r="CG3" s="65"/>
      <c r="CH3" s="65"/>
      <c r="CI3" s="65"/>
      <c r="CJ3" s="65"/>
      <c r="CK3" s="65"/>
      <c r="CL3" s="65"/>
      <c r="CM3" s="65"/>
      <c r="CN3" s="65"/>
      <c r="CO3" s="65"/>
      <c r="CP3" s="65"/>
      <c r="CQ3" s="65"/>
      <c r="CR3" s="65"/>
      <c r="CS3" s="65"/>
      <c r="CT3" s="65"/>
      <c r="CU3" s="65"/>
      <c r="CV3" s="65"/>
      <c r="CW3" s="65"/>
      <c r="CX3" s="65"/>
      <c r="CY3" s="65"/>
      <c r="CZ3" s="65"/>
      <c r="DA3" s="65"/>
      <c r="DB3" s="65"/>
      <c r="DC3" s="65"/>
      <c r="DD3" s="65"/>
      <c r="DE3" s="65"/>
      <c r="DF3" s="65"/>
      <c r="DG3" s="65"/>
      <c r="DH3" s="65"/>
      <c r="DI3" s="65"/>
      <c r="DJ3" s="65"/>
      <c r="DK3" s="65"/>
      <c r="DL3" s="65"/>
      <c r="DM3" s="65"/>
      <c r="DN3" s="65"/>
      <c r="DO3" s="65"/>
      <c r="DP3" s="65"/>
      <c r="DQ3" s="65"/>
      <c r="DR3" s="65"/>
      <c r="DS3" s="65"/>
      <c r="DT3" s="65"/>
      <c r="DU3" s="65"/>
      <c r="DV3" s="65"/>
      <c r="DW3" s="65"/>
      <c r="DX3" s="65"/>
      <c r="DY3" s="65"/>
      <c r="DZ3" s="65"/>
      <c r="EA3" s="65"/>
      <c r="EB3" s="65"/>
      <c r="EC3" s="65"/>
      <c r="ED3" s="65"/>
      <c r="EE3" s="65"/>
      <c r="EF3" s="65"/>
      <c r="EG3" s="65"/>
      <c r="EH3" s="65"/>
      <c r="EI3" s="65"/>
      <c r="EJ3" s="65"/>
      <c r="EK3" s="65"/>
      <c r="EL3" s="65"/>
      <c r="EM3" s="65"/>
      <c r="EN3" s="65"/>
      <c r="EO3" s="65"/>
      <c r="EP3" s="65"/>
      <c r="EQ3" s="65"/>
      <c r="ER3" s="65"/>
      <c r="ES3" s="65"/>
      <c r="ET3" s="65"/>
      <c r="EU3" s="65"/>
      <c r="EV3" s="65"/>
      <c r="EW3" s="65"/>
      <c r="EX3" s="65"/>
      <c r="EY3" s="65"/>
      <c r="EZ3" s="65"/>
      <c r="FA3" s="65"/>
      <c r="FB3" s="65"/>
      <c r="FC3" s="65"/>
      <c r="FD3" s="65"/>
      <c r="FE3" s="65"/>
      <c r="FF3" s="65"/>
      <c r="FG3" s="65"/>
      <c r="FH3" s="65"/>
      <c r="FI3" s="65"/>
      <c r="FJ3" s="65"/>
      <c r="FK3" s="65"/>
      <c r="FL3" s="65"/>
      <c r="FM3" s="65"/>
      <c r="FN3" s="65"/>
      <c r="FO3" s="65"/>
      <c r="FP3" s="65"/>
      <c r="FQ3" s="65"/>
      <c r="FR3" s="65"/>
      <c r="FS3" s="65"/>
      <c r="FT3" s="65"/>
      <c r="FU3" s="65"/>
      <c r="FV3" s="65"/>
      <c r="FW3" s="65"/>
      <c r="FX3" s="65"/>
      <c r="FY3" s="65"/>
      <c r="FZ3" s="65"/>
      <c r="GA3" s="65"/>
      <c r="GB3" s="65"/>
      <c r="GC3" s="65"/>
      <c r="GD3" s="65"/>
      <c r="GE3" s="65"/>
      <c r="GF3" s="65"/>
      <c r="GG3" s="65"/>
      <c r="GH3" s="65"/>
      <c r="GI3" s="65"/>
      <c r="GJ3" s="65"/>
      <c r="GK3" s="65"/>
      <c r="GL3" s="65"/>
      <c r="GM3" s="65"/>
      <c r="GN3" s="65"/>
      <c r="GO3" s="65"/>
      <c r="GP3" s="65"/>
      <c r="GQ3" s="65"/>
      <c r="GR3" s="65"/>
      <c r="GS3" s="65"/>
      <c r="GT3" s="65"/>
      <c r="GU3" s="65"/>
      <c r="GV3" s="65"/>
      <c r="GW3" s="65"/>
      <c r="GX3" s="65"/>
      <c r="GY3" s="65"/>
      <c r="GZ3" s="65"/>
      <c r="HA3" s="65"/>
      <c r="HB3" s="65"/>
      <c r="HC3" s="65"/>
      <c r="HD3" s="65"/>
      <c r="HE3" s="65"/>
      <c r="HF3" s="65"/>
      <c r="HG3" s="65"/>
      <c r="HH3" s="65"/>
      <c r="HI3" s="65"/>
      <c r="HJ3" s="65"/>
      <c r="HK3" s="65"/>
      <c r="HL3" s="65"/>
      <c r="HM3" s="65"/>
      <c r="HN3" s="65"/>
      <c r="HO3" s="65"/>
      <c r="HP3" s="65"/>
      <c r="HQ3" s="65"/>
      <c r="HR3" s="65"/>
      <c r="HS3" s="65"/>
      <c r="HT3" s="65"/>
      <c r="HU3" s="65"/>
      <c r="HV3" s="65"/>
      <c r="HW3" s="65"/>
      <c r="HX3" s="65"/>
      <c r="HY3" s="65"/>
      <c r="HZ3" s="65"/>
      <c r="IA3" s="65"/>
      <c r="IB3" s="65"/>
      <c r="IC3" s="65"/>
      <c r="ID3" s="65"/>
      <c r="IE3" s="65"/>
      <c r="IF3" s="65"/>
      <c r="IG3" s="65"/>
      <c r="IH3" s="65"/>
      <c r="II3" s="65"/>
      <c r="IJ3" s="65"/>
      <c r="IK3" s="65"/>
      <c r="IL3" s="65"/>
      <c r="IM3" s="65"/>
      <c r="IN3" s="65"/>
      <c r="IO3" s="65"/>
      <c r="IP3" s="65"/>
      <c r="IQ3" s="65"/>
      <c r="IR3" s="65"/>
      <c r="IS3" s="65"/>
      <c r="IT3" s="65"/>
      <c r="IU3" s="65"/>
      <c r="IV3" s="65"/>
      <c r="IW3" s="65"/>
      <c r="IX3" s="65"/>
      <c r="IY3" s="65"/>
      <c r="IZ3" s="65"/>
      <c r="JA3" s="65"/>
      <c r="JB3" s="65"/>
      <c r="JC3" s="65"/>
      <c r="JD3" s="65"/>
      <c r="JE3" s="65"/>
      <c r="JF3" s="65"/>
      <c r="JG3" s="65"/>
      <c r="JH3" s="65"/>
      <c r="JI3" s="65"/>
      <c r="JJ3" s="65"/>
      <c r="JK3" s="65"/>
      <c r="JL3" s="65"/>
      <c r="JM3" s="65"/>
      <c r="JN3" s="65"/>
      <c r="JO3" s="65"/>
      <c r="JP3" s="65"/>
      <c r="JQ3" s="65"/>
      <c r="JR3" s="65"/>
      <c r="JS3" s="65"/>
      <c r="JT3" s="65"/>
      <c r="JU3" s="65"/>
      <c r="JV3" s="65"/>
      <c r="JW3" s="65"/>
      <c r="JX3" s="3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5"/>
      <c r="KQ3" s="5"/>
      <c r="KR3" s="5"/>
      <c r="KS3" s="5"/>
      <c r="KT3" s="6"/>
      <c r="KU3" s="3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5"/>
      <c r="LN3" s="5"/>
      <c r="LO3" s="5"/>
      <c r="LP3" s="5"/>
      <c r="LQ3" s="6"/>
      <c r="LR3" s="3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5"/>
      <c r="MK3" s="5"/>
      <c r="ML3" s="5"/>
      <c r="MM3" s="5"/>
      <c r="MN3" s="6"/>
      <c r="MO3" s="3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5"/>
      <c r="NH3" s="5"/>
      <c r="NI3" s="5"/>
      <c r="NJ3" s="5"/>
      <c r="NK3" s="6"/>
      <c r="NL3" s="3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5"/>
      <c r="OE3" s="5"/>
      <c r="OF3" s="5"/>
      <c r="OG3" s="5"/>
      <c r="OH3" s="6"/>
      <c r="OI3" s="3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5"/>
      <c r="PB3" s="5"/>
      <c r="PC3" s="5"/>
      <c r="PD3" s="5"/>
      <c r="PE3" s="6"/>
      <c r="PF3" s="3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5"/>
      <c r="PY3" s="5"/>
      <c r="PZ3" s="5"/>
      <c r="QA3" s="5"/>
      <c r="QB3" s="6"/>
      <c r="QC3" s="3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5"/>
      <c r="QV3" s="5"/>
      <c r="QW3" s="5"/>
      <c r="QX3" s="5"/>
      <c r="QY3" s="6"/>
      <c r="QZ3" s="1"/>
      <c r="RA3" s="1"/>
      <c r="RB3" s="1"/>
      <c r="RC3" s="1"/>
      <c r="RD3" s="1"/>
      <c r="RE3" s="1"/>
      <c r="RF3" s="1"/>
      <c r="RG3" s="1"/>
      <c r="RH3" s="1"/>
      <c r="RI3" s="1"/>
      <c r="RJ3" s="1"/>
      <c r="RK3" s="1"/>
      <c r="RL3" s="1"/>
      <c r="RM3" s="1"/>
      <c r="RN3" s="1"/>
      <c r="RO3" s="1"/>
      <c r="RP3" s="1"/>
      <c r="RQ3" s="1"/>
      <c r="RR3" s="1"/>
      <c r="RS3" s="1"/>
      <c r="RT3" s="1"/>
      <c r="RU3" s="1"/>
      <c r="RV3" s="1"/>
      <c r="RW3" s="1"/>
      <c r="RX3" s="1"/>
      <c r="RY3" s="1"/>
      <c r="RZ3" s="1"/>
      <c r="SA3" s="1"/>
      <c r="SB3" s="1"/>
      <c r="SC3" s="1"/>
      <c r="SD3" s="1"/>
      <c r="SE3" s="1"/>
      <c r="SF3" s="1"/>
      <c r="SG3" s="1"/>
      <c r="SH3" s="1"/>
      <c r="SI3" s="1"/>
      <c r="SJ3" s="1"/>
      <c r="SK3" s="1"/>
      <c r="SL3" s="1"/>
      <c r="SM3" s="1"/>
      <c r="SN3" s="1"/>
      <c r="SO3" s="1"/>
      <c r="SP3" s="1"/>
      <c r="SQ3" s="1"/>
      <c r="SR3" s="1"/>
      <c r="SS3" s="1"/>
      <c r="ST3" s="1"/>
      <c r="SU3" s="1"/>
      <c r="SV3" s="1"/>
      <c r="SW3" s="1"/>
      <c r="SX3" s="1"/>
      <c r="SY3" s="1"/>
      <c r="SZ3" s="1"/>
      <c r="TA3" s="1"/>
      <c r="TB3" s="1"/>
      <c r="TC3" s="1"/>
      <c r="TD3" s="1"/>
      <c r="TE3" s="1"/>
      <c r="TF3" s="1"/>
      <c r="TG3" s="1"/>
      <c r="TH3" s="1"/>
      <c r="TI3" s="1"/>
      <c r="TJ3" s="1"/>
      <c r="TK3" s="1"/>
      <c r="TL3" s="1"/>
      <c r="TM3" s="1"/>
      <c r="TN3" s="1"/>
      <c r="TO3" s="1"/>
      <c r="TP3" s="1"/>
      <c r="TQ3" s="1"/>
      <c r="TR3" s="1"/>
      <c r="TS3" s="1"/>
    </row>
    <row r="4" spans="1:539" s="18" customFormat="1" ht="40" customHeight="1" x14ac:dyDescent="0.2">
      <c r="A4" s="7" t="str">
        <f t="shared" ref="A4:A6" si="8">A3</f>
        <v>MAGIC 2</v>
      </c>
      <c r="B4" s="7">
        <v>7</v>
      </c>
      <c r="C4" s="7">
        <v>1</v>
      </c>
      <c r="D4" s="7" t="s">
        <v>47</v>
      </c>
      <c r="E4" s="25">
        <v>5</v>
      </c>
      <c r="F4" s="25">
        <v>8</v>
      </c>
      <c r="G4" s="25">
        <v>0</v>
      </c>
      <c r="H4" s="25">
        <v>1</v>
      </c>
      <c r="I4" s="25">
        <f t="shared" si="0"/>
        <v>5</v>
      </c>
      <c r="J4" s="25">
        <f t="shared" si="0"/>
        <v>9</v>
      </c>
      <c r="K4" s="25">
        <v>0</v>
      </c>
      <c r="L4" s="25">
        <v>0</v>
      </c>
      <c r="M4" s="25">
        <v>1</v>
      </c>
      <c r="N4" s="25">
        <v>4</v>
      </c>
      <c r="O4" s="25">
        <f t="shared" si="1"/>
        <v>10</v>
      </c>
      <c r="P4" s="25">
        <f t="shared" si="2"/>
        <v>5</v>
      </c>
      <c r="Q4" s="25">
        <v>3</v>
      </c>
      <c r="R4" s="25">
        <v>0</v>
      </c>
      <c r="S4" s="25">
        <v>2</v>
      </c>
      <c r="T4" s="25">
        <v>2</v>
      </c>
      <c r="U4" s="25">
        <v>0</v>
      </c>
      <c r="V4" s="26">
        <f t="shared" si="3"/>
        <v>0.55555555555555558</v>
      </c>
      <c r="W4" s="26">
        <f t="shared" si="4"/>
        <v>0</v>
      </c>
      <c r="X4" s="26">
        <f t="shared" si="5"/>
        <v>0.625</v>
      </c>
      <c r="Y4" s="26">
        <f t="shared" si="6"/>
        <v>0</v>
      </c>
      <c r="Z4" s="27">
        <f t="shared" si="7"/>
        <v>9.7000000000000011</v>
      </c>
      <c r="AA4" s="27" t="str">
        <f t="shared" ref="AA4:AA15" si="9">AA3</f>
        <v>REG</v>
      </c>
      <c r="AB4" s="65"/>
      <c r="AC4" s="65"/>
      <c r="AD4" s="65"/>
      <c r="AE4" s="65"/>
      <c r="AF4" s="65"/>
      <c r="AG4" s="65"/>
      <c r="AH4" s="65"/>
      <c r="AI4" s="65"/>
      <c r="AJ4" s="65"/>
      <c r="AK4" s="65"/>
      <c r="AL4" s="65"/>
      <c r="AM4" s="65"/>
      <c r="AN4" s="65"/>
      <c r="AO4" s="65"/>
      <c r="AP4" s="65"/>
      <c r="AQ4" s="65"/>
      <c r="AR4" s="65"/>
      <c r="AS4" s="65"/>
      <c r="AT4" s="65"/>
      <c r="AU4" s="65"/>
      <c r="AV4" s="65"/>
      <c r="AW4" s="65"/>
      <c r="AX4" s="65"/>
      <c r="AY4" s="65"/>
      <c r="AZ4" s="65"/>
      <c r="BA4" s="65"/>
      <c r="BB4" s="65"/>
      <c r="BC4" s="65"/>
      <c r="BD4" s="65"/>
      <c r="BE4" s="65"/>
      <c r="BF4" s="65"/>
      <c r="BG4" s="65"/>
      <c r="BH4" s="65"/>
      <c r="BI4" s="65"/>
      <c r="BJ4" s="65"/>
      <c r="BK4" s="65"/>
      <c r="BL4" s="65"/>
      <c r="BM4" s="65"/>
      <c r="BN4" s="65"/>
      <c r="BO4" s="65"/>
      <c r="BP4" s="65"/>
      <c r="BQ4" s="65"/>
      <c r="BR4" s="65"/>
      <c r="BS4" s="65"/>
      <c r="BT4" s="65"/>
      <c r="BU4" s="65"/>
      <c r="BV4" s="65"/>
      <c r="BW4" s="65"/>
      <c r="BX4" s="65"/>
      <c r="BY4" s="65"/>
      <c r="BZ4" s="65"/>
      <c r="CA4" s="65"/>
      <c r="CB4" s="65"/>
      <c r="CC4" s="65"/>
      <c r="CD4" s="65"/>
      <c r="CE4" s="65"/>
      <c r="CF4" s="65"/>
      <c r="CG4" s="65"/>
      <c r="CH4" s="65"/>
      <c r="CI4" s="65"/>
      <c r="CJ4" s="65"/>
      <c r="CK4" s="65"/>
      <c r="CL4" s="65"/>
      <c r="CM4" s="65"/>
      <c r="CN4" s="65"/>
      <c r="CO4" s="65"/>
      <c r="CP4" s="65"/>
      <c r="CQ4" s="65"/>
      <c r="CR4" s="65"/>
      <c r="CS4" s="65"/>
      <c r="CT4" s="65"/>
      <c r="CU4" s="65"/>
      <c r="CV4" s="65"/>
      <c r="CW4" s="65"/>
      <c r="CX4" s="65"/>
      <c r="CY4" s="65"/>
      <c r="CZ4" s="65"/>
      <c r="DA4" s="65"/>
      <c r="DB4" s="65"/>
      <c r="DC4" s="65"/>
      <c r="DD4" s="65"/>
      <c r="DE4" s="65"/>
      <c r="DF4" s="65"/>
      <c r="DG4" s="65"/>
      <c r="DH4" s="65"/>
      <c r="DI4" s="65"/>
      <c r="DJ4" s="65"/>
      <c r="DK4" s="65"/>
      <c r="DL4" s="65"/>
      <c r="DM4" s="65"/>
      <c r="DN4" s="65"/>
      <c r="DO4" s="65"/>
      <c r="DP4" s="65"/>
      <c r="DQ4" s="65"/>
      <c r="DR4" s="65"/>
      <c r="DS4" s="65"/>
      <c r="DT4" s="65"/>
      <c r="DU4" s="65"/>
      <c r="DV4" s="65"/>
      <c r="DW4" s="65"/>
      <c r="DX4" s="65"/>
      <c r="DY4" s="65"/>
      <c r="DZ4" s="65"/>
      <c r="EA4" s="65"/>
      <c r="EB4" s="65"/>
      <c r="EC4" s="65"/>
      <c r="ED4" s="65"/>
      <c r="EE4" s="65"/>
      <c r="EF4" s="65"/>
      <c r="EG4" s="65"/>
      <c r="EH4" s="65"/>
      <c r="EI4" s="65"/>
      <c r="EJ4" s="65"/>
      <c r="EK4" s="65"/>
      <c r="EL4" s="65"/>
      <c r="EM4" s="65"/>
      <c r="EN4" s="65"/>
      <c r="EO4" s="65"/>
      <c r="EP4" s="65"/>
      <c r="EQ4" s="65"/>
      <c r="ER4" s="65"/>
      <c r="ES4" s="65"/>
      <c r="ET4" s="65"/>
      <c r="EU4" s="65"/>
      <c r="EV4" s="65"/>
      <c r="EW4" s="65"/>
      <c r="EX4" s="65"/>
      <c r="EY4" s="65"/>
      <c r="EZ4" s="65"/>
      <c r="FA4" s="65"/>
      <c r="FB4" s="65"/>
      <c r="FC4" s="65"/>
      <c r="FD4" s="65"/>
      <c r="FE4" s="65"/>
      <c r="FF4" s="65"/>
      <c r="FG4" s="65"/>
      <c r="FH4" s="65"/>
      <c r="FI4" s="65"/>
      <c r="FJ4" s="65"/>
      <c r="FK4" s="65"/>
      <c r="FL4" s="65"/>
      <c r="FM4" s="65"/>
      <c r="FN4" s="65"/>
      <c r="FO4" s="65"/>
      <c r="FP4" s="65"/>
      <c r="FQ4" s="65"/>
      <c r="FR4" s="65"/>
      <c r="FS4" s="65"/>
      <c r="FT4" s="65"/>
      <c r="FU4" s="65"/>
      <c r="FV4" s="65"/>
      <c r="FW4" s="65"/>
      <c r="FX4" s="65"/>
      <c r="FY4" s="65"/>
      <c r="FZ4" s="65"/>
      <c r="GA4" s="65"/>
      <c r="GB4" s="65"/>
      <c r="GC4" s="65"/>
      <c r="GD4" s="65"/>
      <c r="GE4" s="65"/>
      <c r="GF4" s="65"/>
      <c r="GG4" s="65"/>
      <c r="GH4" s="65"/>
      <c r="GI4" s="65"/>
      <c r="GJ4" s="65"/>
      <c r="GK4" s="65"/>
      <c r="GL4" s="65"/>
      <c r="GM4" s="65"/>
      <c r="GN4" s="65"/>
      <c r="GO4" s="65"/>
      <c r="GP4" s="65"/>
      <c r="GQ4" s="65"/>
      <c r="GR4" s="65"/>
      <c r="GS4" s="65"/>
      <c r="GT4" s="65"/>
      <c r="GU4" s="65"/>
      <c r="GV4" s="65"/>
      <c r="GW4" s="65"/>
      <c r="GX4" s="65"/>
      <c r="GY4" s="65"/>
      <c r="GZ4" s="65"/>
      <c r="HA4" s="65"/>
      <c r="HB4" s="65"/>
      <c r="HC4" s="65"/>
      <c r="HD4" s="65"/>
      <c r="HE4" s="65"/>
      <c r="HF4" s="65"/>
      <c r="HG4" s="65"/>
      <c r="HH4" s="65"/>
      <c r="HI4" s="65"/>
      <c r="HJ4" s="65"/>
      <c r="HK4" s="65"/>
      <c r="HL4" s="65"/>
      <c r="HM4" s="65"/>
      <c r="HN4" s="65"/>
      <c r="HO4" s="65"/>
      <c r="HP4" s="65"/>
      <c r="HQ4" s="65"/>
      <c r="HR4" s="65"/>
      <c r="HS4" s="65"/>
      <c r="HT4" s="65"/>
      <c r="HU4" s="65"/>
      <c r="HV4" s="65"/>
      <c r="HW4" s="65"/>
      <c r="HX4" s="65"/>
      <c r="HY4" s="65"/>
      <c r="HZ4" s="65"/>
      <c r="IA4" s="65"/>
      <c r="IB4" s="65"/>
      <c r="IC4" s="65"/>
      <c r="ID4" s="65"/>
      <c r="IE4" s="65"/>
      <c r="IF4" s="65"/>
      <c r="IG4" s="65"/>
      <c r="IH4" s="65"/>
      <c r="II4" s="65"/>
      <c r="IJ4" s="65"/>
      <c r="IK4" s="65"/>
      <c r="IL4" s="65"/>
      <c r="IM4" s="65"/>
      <c r="IN4" s="65"/>
      <c r="IO4" s="65"/>
      <c r="IP4" s="65"/>
      <c r="IQ4" s="65"/>
      <c r="IR4" s="65"/>
      <c r="IS4" s="65"/>
      <c r="IT4" s="65"/>
      <c r="IU4" s="65"/>
      <c r="IV4" s="65"/>
      <c r="IW4" s="65"/>
      <c r="IX4" s="65"/>
      <c r="IY4" s="65"/>
      <c r="IZ4" s="65"/>
      <c r="JA4" s="65"/>
      <c r="JB4" s="65"/>
      <c r="JC4" s="65"/>
      <c r="JD4" s="65"/>
      <c r="JE4" s="65"/>
      <c r="JF4" s="65"/>
      <c r="JG4" s="65"/>
      <c r="JH4" s="65"/>
      <c r="JI4" s="65"/>
      <c r="JJ4" s="65"/>
      <c r="JK4" s="65"/>
      <c r="JL4" s="65"/>
      <c r="JM4" s="65"/>
      <c r="JN4" s="65"/>
      <c r="JO4" s="65"/>
      <c r="JP4" s="65"/>
      <c r="JQ4" s="65"/>
      <c r="JR4" s="65"/>
      <c r="JS4" s="65"/>
      <c r="JT4" s="65"/>
      <c r="JU4" s="65"/>
      <c r="JV4" s="65"/>
      <c r="JW4" s="65"/>
      <c r="JX4" s="3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5"/>
      <c r="KQ4" s="5"/>
      <c r="KR4" s="5"/>
      <c r="KS4" s="5"/>
      <c r="KT4" s="6"/>
      <c r="KU4" s="3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5"/>
      <c r="LN4" s="5"/>
      <c r="LO4" s="5"/>
      <c r="LP4" s="5"/>
      <c r="LQ4" s="6"/>
      <c r="LR4" s="3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5"/>
      <c r="MK4" s="5"/>
      <c r="ML4" s="5"/>
      <c r="MM4" s="5"/>
      <c r="MN4" s="6"/>
      <c r="MO4" s="3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5"/>
      <c r="NH4" s="5"/>
      <c r="NI4" s="5"/>
      <c r="NJ4" s="5"/>
      <c r="NK4" s="6"/>
      <c r="NL4" s="3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5"/>
      <c r="OE4" s="5"/>
      <c r="OF4" s="5"/>
      <c r="OG4" s="5"/>
      <c r="OH4" s="6"/>
      <c r="OI4" s="3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5"/>
      <c r="PB4" s="5"/>
      <c r="PC4" s="5"/>
      <c r="PD4" s="5"/>
      <c r="PE4" s="6"/>
      <c r="PF4" s="3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5"/>
      <c r="PY4" s="5"/>
      <c r="PZ4" s="5"/>
      <c r="QA4" s="5"/>
      <c r="QB4" s="6"/>
      <c r="QC4" s="3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5"/>
      <c r="QV4" s="5"/>
      <c r="QW4" s="5"/>
      <c r="QX4" s="5"/>
      <c r="QY4" s="6"/>
      <c r="QZ4" s="1"/>
      <c r="RA4" s="1"/>
      <c r="RB4" s="1"/>
      <c r="RC4" s="1"/>
      <c r="RD4" s="1"/>
      <c r="RE4" s="1"/>
      <c r="RF4" s="1"/>
      <c r="RG4" s="1"/>
      <c r="RH4" s="1"/>
      <c r="RI4" s="1"/>
      <c r="RJ4" s="1"/>
      <c r="RK4" s="1"/>
      <c r="RL4" s="1"/>
      <c r="RM4" s="1"/>
      <c r="RN4" s="1"/>
      <c r="RO4" s="1"/>
      <c r="RP4" s="1"/>
      <c r="RQ4" s="1"/>
      <c r="RR4" s="1"/>
      <c r="RS4" s="1"/>
      <c r="RT4" s="1"/>
      <c r="RU4" s="1"/>
      <c r="RV4" s="1"/>
      <c r="RW4" s="1"/>
      <c r="RX4" s="1"/>
      <c r="RY4" s="1"/>
      <c r="RZ4" s="1"/>
      <c r="SA4" s="1"/>
      <c r="SB4" s="1"/>
      <c r="SC4" s="1"/>
      <c r="SD4" s="1"/>
      <c r="SE4" s="1"/>
      <c r="SF4" s="1"/>
      <c r="SG4" s="1"/>
      <c r="SH4" s="1"/>
      <c r="SI4" s="1"/>
      <c r="SJ4" s="1"/>
      <c r="SK4" s="1"/>
      <c r="SL4" s="1"/>
      <c r="SM4" s="1"/>
      <c r="SN4" s="1"/>
      <c r="SO4" s="1"/>
      <c r="SP4" s="1"/>
      <c r="SQ4" s="1"/>
      <c r="SR4" s="1"/>
      <c r="SS4" s="1"/>
      <c r="ST4" s="1"/>
      <c r="SU4" s="1"/>
      <c r="SV4" s="1"/>
      <c r="SW4" s="1"/>
      <c r="SX4" s="1"/>
      <c r="SY4" s="1"/>
      <c r="SZ4" s="1"/>
      <c r="TA4" s="1"/>
      <c r="TB4" s="1"/>
      <c r="TC4" s="1"/>
      <c r="TD4" s="1"/>
      <c r="TE4" s="1"/>
      <c r="TF4" s="1"/>
      <c r="TG4" s="1"/>
      <c r="TH4" s="1"/>
      <c r="TI4" s="1"/>
      <c r="TJ4" s="1"/>
      <c r="TK4" s="1"/>
      <c r="TL4" s="1"/>
      <c r="TM4" s="1"/>
      <c r="TN4" s="1"/>
      <c r="TO4" s="1"/>
      <c r="TP4" s="1"/>
      <c r="TQ4" s="1"/>
      <c r="TR4" s="1"/>
      <c r="TS4" s="1"/>
    </row>
    <row r="5" spans="1:539" s="18" customFormat="1" ht="40" customHeight="1" x14ac:dyDescent="0.2">
      <c r="A5" s="7" t="str">
        <f t="shared" si="8"/>
        <v>MAGIC 2</v>
      </c>
      <c r="B5" s="7">
        <v>7</v>
      </c>
      <c r="C5" s="7">
        <v>1</v>
      </c>
      <c r="D5" s="7" t="s">
        <v>42</v>
      </c>
      <c r="E5" s="28">
        <v>9</v>
      </c>
      <c r="F5" s="28">
        <v>11</v>
      </c>
      <c r="G5" s="28">
        <v>2</v>
      </c>
      <c r="H5" s="70">
        <v>8</v>
      </c>
      <c r="I5" s="28">
        <f t="shared" si="0"/>
        <v>11</v>
      </c>
      <c r="J5" s="28">
        <f t="shared" si="0"/>
        <v>19</v>
      </c>
      <c r="K5" s="28">
        <v>0</v>
      </c>
      <c r="L5" s="28">
        <v>0</v>
      </c>
      <c r="M5" s="28">
        <v>2</v>
      </c>
      <c r="N5" s="28">
        <v>3</v>
      </c>
      <c r="O5" s="28">
        <f t="shared" si="1"/>
        <v>24</v>
      </c>
      <c r="P5" s="28">
        <f t="shared" si="2"/>
        <v>5</v>
      </c>
      <c r="Q5" s="28">
        <v>7</v>
      </c>
      <c r="R5" s="28">
        <v>0</v>
      </c>
      <c r="S5" s="28">
        <v>0</v>
      </c>
      <c r="T5" s="28">
        <v>2</v>
      </c>
      <c r="U5" s="28">
        <v>0</v>
      </c>
      <c r="V5" s="29">
        <f t="shared" si="3"/>
        <v>0.57894736842105265</v>
      </c>
      <c r="W5" s="29">
        <f t="shared" si="4"/>
        <v>0</v>
      </c>
      <c r="X5" s="29">
        <f t="shared" si="5"/>
        <v>0.81818181818181823</v>
      </c>
      <c r="Y5" s="29">
        <f t="shared" si="6"/>
        <v>0.25</v>
      </c>
      <c r="Z5" s="30">
        <f t="shared" si="7"/>
        <v>20.299999999999997</v>
      </c>
      <c r="AA5" s="30" t="str">
        <f t="shared" si="9"/>
        <v>REG</v>
      </c>
      <c r="AB5" s="65"/>
      <c r="AC5" s="65"/>
      <c r="AD5" s="65"/>
      <c r="AE5" s="65"/>
      <c r="AF5" s="65"/>
      <c r="AG5" s="65"/>
      <c r="AH5" s="65"/>
      <c r="AI5" s="65"/>
      <c r="AJ5" s="65"/>
      <c r="AK5" s="65"/>
      <c r="AL5" s="65"/>
      <c r="AM5" s="65"/>
      <c r="AN5" s="65"/>
      <c r="AO5" s="65"/>
      <c r="AP5" s="65"/>
      <c r="AQ5" s="65"/>
      <c r="AR5" s="65"/>
      <c r="AS5" s="65"/>
      <c r="AT5" s="65"/>
      <c r="AU5" s="65"/>
      <c r="AV5" s="65"/>
      <c r="AW5" s="65"/>
      <c r="AX5" s="65"/>
      <c r="AY5" s="65"/>
      <c r="AZ5" s="65"/>
      <c r="BA5" s="65"/>
      <c r="BB5" s="65"/>
      <c r="BC5" s="65"/>
      <c r="BD5" s="65"/>
      <c r="BE5" s="65"/>
      <c r="BF5" s="65"/>
      <c r="BG5" s="65"/>
      <c r="BH5" s="65"/>
      <c r="BI5" s="65"/>
      <c r="BJ5" s="65"/>
      <c r="BK5" s="65"/>
      <c r="BL5" s="65"/>
      <c r="BM5" s="65"/>
      <c r="BN5" s="65"/>
      <c r="BO5" s="65"/>
      <c r="BP5" s="65"/>
      <c r="BQ5" s="65"/>
      <c r="BR5" s="65"/>
      <c r="BS5" s="65"/>
      <c r="BT5" s="65"/>
      <c r="BU5" s="65"/>
      <c r="BV5" s="65"/>
      <c r="BW5" s="65"/>
      <c r="BX5" s="65"/>
      <c r="BY5" s="65"/>
      <c r="BZ5" s="65"/>
      <c r="CA5" s="65"/>
      <c r="CB5" s="65"/>
      <c r="CC5" s="65"/>
      <c r="CD5" s="65"/>
      <c r="CE5" s="65"/>
      <c r="CF5" s="65"/>
      <c r="CG5" s="65"/>
      <c r="CH5" s="65"/>
      <c r="CI5" s="65"/>
      <c r="CJ5" s="65"/>
      <c r="CK5" s="65"/>
      <c r="CL5" s="65"/>
      <c r="CM5" s="65"/>
      <c r="CN5" s="65"/>
      <c r="CO5" s="65"/>
      <c r="CP5" s="65"/>
      <c r="CQ5" s="65"/>
      <c r="CR5" s="65"/>
      <c r="CS5" s="65"/>
      <c r="CT5" s="65"/>
      <c r="CU5" s="65"/>
      <c r="CV5" s="65"/>
      <c r="CW5" s="65"/>
      <c r="CX5" s="65"/>
      <c r="CY5" s="65"/>
      <c r="CZ5" s="65"/>
      <c r="DA5" s="65"/>
      <c r="DB5" s="65"/>
      <c r="DC5" s="65"/>
      <c r="DD5" s="65"/>
      <c r="DE5" s="65"/>
      <c r="DF5" s="65"/>
      <c r="DG5" s="65"/>
      <c r="DH5" s="65"/>
      <c r="DI5" s="65"/>
      <c r="DJ5" s="65"/>
      <c r="DK5" s="65"/>
      <c r="DL5" s="65"/>
      <c r="DM5" s="65"/>
      <c r="DN5" s="65"/>
      <c r="DO5" s="65"/>
      <c r="DP5" s="65"/>
      <c r="DQ5" s="65"/>
      <c r="DR5" s="65"/>
      <c r="DS5" s="65"/>
      <c r="DT5" s="65"/>
      <c r="DU5" s="65"/>
      <c r="DV5" s="65"/>
      <c r="DW5" s="65"/>
      <c r="DX5" s="65"/>
      <c r="DY5" s="65"/>
      <c r="DZ5" s="65"/>
      <c r="EA5" s="65"/>
      <c r="EB5" s="65"/>
      <c r="EC5" s="65"/>
      <c r="ED5" s="65"/>
      <c r="EE5" s="65"/>
      <c r="EF5" s="65"/>
      <c r="EG5" s="65"/>
      <c r="EH5" s="65"/>
      <c r="EI5" s="65"/>
      <c r="EJ5" s="65"/>
      <c r="EK5" s="65"/>
      <c r="EL5" s="65"/>
      <c r="EM5" s="65"/>
      <c r="EN5" s="65"/>
      <c r="EO5" s="65"/>
      <c r="EP5" s="65"/>
      <c r="EQ5" s="65"/>
      <c r="ER5" s="65"/>
      <c r="ES5" s="65"/>
      <c r="ET5" s="65"/>
      <c r="EU5" s="65"/>
      <c r="EV5" s="65"/>
      <c r="EW5" s="65"/>
      <c r="EX5" s="65"/>
      <c r="EY5" s="65"/>
      <c r="EZ5" s="65"/>
      <c r="FA5" s="65"/>
      <c r="FB5" s="65"/>
      <c r="FC5" s="65"/>
      <c r="FD5" s="65"/>
      <c r="FE5" s="65"/>
      <c r="FF5" s="65"/>
      <c r="FG5" s="65"/>
      <c r="FH5" s="65"/>
      <c r="FI5" s="65"/>
      <c r="FJ5" s="65"/>
      <c r="FK5" s="65"/>
      <c r="FL5" s="65"/>
      <c r="FM5" s="65"/>
      <c r="FN5" s="65"/>
      <c r="FO5" s="65"/>
      <c r="FP5" s="65"/>
      <c r="FQ5" s="65"/>
      <c r="FR5" s="65"/>
      <c r="FS5" s="65"/>
      <c r="FT5" s="65"/>
      <c r="FU5" s="65"/>
      <c r="FV5" s="65"/>
      <c r="FW5" s="65"/>
      <c r="FX5" s="65"/>
      <c r="FY5" s="65"/>
      <c r="FZ5" s="65"/>
      <c r="GA5" s="65"/>
      <c r="GB5" s="65"/>
      <c r="GC5" s="65"/>
      <c r="GD5" s="65"/>
      <c r="GE5" s="65"/>
      <c r="GF5" s="65"/>
      <c r="GG5" s="65"/>
      <c r="GH5" s="65"/>
      <c r="GI5" s="65"/>
      <c r="GJ5" s="65"/>
      <c r="GK5" s="65"/>
      <c r="GL5" s="65"/>
      <c r="GM5" s="65"/>
      <c r="GN5" s="65"/>
      <c r="GO5" s="65"/>
      <c r="GP5" s="65"/>
      <c r="GQ5" s="65"/>
      <c r="GR5" s="65"/>
      <c r="GS5" s="65"/>
      <c r="GT5" s="65"/>
      <c r="GU5" s="65"/>
      <c r="GV5" s="65"/>
      <c r="GW5" s="65"/>
      <c r="GX5" s="65"/>
      <c r="GY5" s="65"/>
      <c r="GZ5" s="65"/>
      <c r="HA5" s="65"/>
      <c r="HB5" s="65"/>
      <c r="HC5" s="65"/>
      <c r="HD5" s="65"/>
      <c r="HE5" s="65"/>
      <c r="HF5" s="65"/>
      <c r="HG5" s="65"/>
      <c r="HH5" s="65"/>
      <c r="HI5" s="65"/>
      <c r="HJ5" s="65"/>
      <c r="HK5" s="65"/>
      <c r="HL5" s="65"/>
      <c r="HM5" s="65"/>
      <c r="HN5" s="65"/>
      <c r="HO5" s="65"/>
      <c r="HP5" s="65"/>
      <c r="HQ5" s="65"/>
      <c r="HR5" s="65"/>
      <c r="HS5" s="65"/>
      <c r="HT5" s="65"/>
      <c r="HU5" s="65"/>
      <c r="HV5" s="65"/>
      <c r="HW5" s="65"/>
      <c r="HX5" s="65"/>
      <c r="HY5" s="65"/>
      <c r="HZ5" s="65"/>
      <c r="IA5" s="65"/>
      <c r="IB5" s="65"/>
      <c r="IC5" s="65"/>
      <c r="ID5" s="65"/>
      <c r="IE5" s="65"/>
      <c r="IF5" s="65"/>
      <c r="IG5" s="65"/>
      <c r="IH5" s="65"/>
      <c r="II5" s="65"/>
      <c r="IJ5" s="65"/>
      <c r="IK5" s="65"/>
      <c r="IL5" s="65"/>
      <c r="IM5" s="65"/>
      <c r="IN5" s="65"/>
      <c r="IO5" s="65"/>
      <c r="IP5" s="65"/>
      <c r="IQ5" s="65"/>
      <c r="IR5" s="65"/>
      <c r="IS5" s="65"/>
      <c r="IT5" s="65"/>
      <c r="IU5" s="65"/>
      <c r="IV5" s="65"/>
      <c r="IW5" s="65"/>
      <c r="IX5" s="65"/>
      <c r="IY5" s="65"/>
      <c r="IZ5" s="65"/>
      <c r="JA5" s="65"/>
      <c r="JB5" s="65"/>
      <c r="JC5" s="65"/>
      <c r="JD5" s="65"/>
      <c r="JE5" s="65"/>
      <c r="JF5" s="65"/>
      <c r="JG5" s="65"/>
      <c r="JH5" s="65"/>
      <c r="JI5" s="65"/>
      <c r="JJ5" s="65"/>
      <c r="JK5" s="65"/>
      <c r="JL5" s="65"/>
      <c r="JM5" s="65"/>
      <c r="JN5" s="65"/>
      <c r="JO5" s="65"/>
      <c r="JP5" s="65"/>
      <c r="JQ5" s="65"/>
      <c r="JR5" s="65"/>
      <c r="JS5" s="65"/>
      <c r="JT5" s="65"/>
      <c r="JU5" s="65"/>
      <c r="JV5" s="65"/>
      <c r="JW5" s="65"/>
      <c r="JX5" s="3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5"/>
      <c r="KQ5" s="5"/>
      <c r="KR5" s="5"/>
      <c r="KS5" s="5"/>
      <c r="KT5" s="6"/>
      <c r="KU5" s="3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5"/>
      <c r="LN5" s="5"/>
      <c r="LO5" s="5"/>
      <c r="LP5" s="5"/>
      <c r="LQ5" s="6"/>
      <c r="LR5" s="3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5"/>
      <c r="MK5" s="5"/>
      <c r="ML5" s="5"/>
      <c r="MM5" s="5"/>
      <c r="MN5" s="6"/>
      <c r="MO5" s="3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5"/>
      <c r="NH5" s="5"/>
      <c r="NI5" s="5"/>
      <c r="NJ5" s="5"/>
      <c r="NK5" s="6"/>
      <c r="NL5" s="3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5"/>
      <c r="OE5" s="5"/>
      <c r="OF5" s="5"/>
      <c r="OG5" s="5"/>
      <c r="OH5" s="6"/>
      <c r="OI5" s="3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5"/>
      <c r="PB5" s="5"/>
      <c r="PC5" s="5"/>
      <c r="PD5" s="5"/>
      <c r="PE5" s="6"/>
      <c r="PF5" s="3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5"/>
      <c r="PY5" s="5"/>
      <c r="PZ5" s="5"/>
      <c r="QA5" s="5"/>
      <c r="QB5" s="6"/>
      <c r="QC5" s="3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5"/>
      <c r="QV5" s="5"/>
      <c r="QW5" s="5"/>
      <c r="QX5" s="5"/>
      <c r="QY5" s="6"/>
      <c r="QZ5" s="1"/>
      <c r="RA5" s="1"/>
      <c r="RB5" s="1"/>
      <c r="RC5" s="1"/>
      <c r="RD5" s="1"/>
      <c r="RE5" s="1"/>
      <c r="RF5" s="1"/>
      <c r="RG5" s="1"/>
      <c r="RH5" s="1"/>
      <c r="RI5" s="1"/>
      <c r="RJ5" s="1"/>
      <c r="RK5" s="1"/>
      <c r="RL5" s="1"/>
      <c r="RM5" s="1"/>
      <c r="RN5" s="1"/>
      <c r="RO5" s="1"/>
      <c r="RP5" s="1"/>
      <c r="RQ5" s="1"/>
      <c r="RR5" s="1"/>
      <c r="RS5" s="1"/>
      <c r="RT5" s="1"/>
      <c r="RU5" s="1"/>
      <c r="RV5" s="1"/>
      <c r="RW5" s="1"/>
      <c r="RX5" s="1"/>
      <c r="RY5" s="1"/>
      <c r="RZ5" s="1"/>
      <c r="SA5" s="1"/>
      <c r="SB5" s="1"/>
      <c r="SC5" s="1"/>
      <c r="SD5" s="1"/>
      <c r="SE5" s="1"/>
      <c r="SF5" s="1"/>
      <c r="SG5" s="1"/>
      <c r="SH5" s="1"/>
      <c r="SI5" s="1"/>
      <c r="SJ5" s="1"/>
      <c r="SK5" s="1"/>
      <c r="SL5" s="1"/>
      <c r="SM5" s="1"/>
      <c r="SN5" s="1"/>
      <c r="SO5" s="1"/>
      <c r="SP5" s="1"/>
      <c r="SQ5" s="1"/>
      <c r="SR5" s="1"/>
      <c r="SS5" s="1"/>
      <c r="ST5" s="1"/>
      <c r="SU5" s="1"/>
      <c r="SV5" s="1"/>
      <c r="SW5" s="1"/>
      <c r="SX5" s="1"/>
      <c r="SY5" s="1"/>
      <c r="SZ5" s="1"/>
      <c r="TA5" s="1"/>
      <c r="TB5" s="1"/>
      <c r="TC5" s="1"/>
      <c r="TD5" s="1"/>
      <c r="TE5" s="1"/>
      <c r="TF5" s="1"/>
      <c r="TG5" s="1"/>
      <c r="TH5" s="1"/>
      <c r="TI5" s="1"/>
      <c r="TJ5" s="1"/>
      <c r="TK5" s="1"/>
      <c r="TL5" s="1"/>
      <c r="TM5" s="1"/>
      <c r="TN5" s="1"/>
      <c r="TO5" s="1"/>
      <c r="TP5" s="1"/>
      <c r="TQ5" s="1"/>
      <c r="TR5" s="1"/>
      <c r="TS5" s="1"/>
    </row>
    <row r="6" spans="1:539" s="18" customFormat="1" ht="40" customHeight="1" x14ac:dyDescent="0.2">
      <c r="A6" s="7" t="str">
        <f t="shared" si="8"/>
        <v>MAGIC 2</v>
      </c>
      <c r="B6" s="7">
        <v>7</v>
      </c>
      <c r="C6" s="7">
        <v>1</v>
      </c>
      <c r="D6" s="7" t="s">
        <v>43</v>
      </c>
      <c r="E6" s="31">
        <v>7</v>
      </c>
      <c r="F6" s="31">
        <v>10</v>
      </c>
      <c r="G6" s="31">
        <v>0</v>
      </c>
      <c r="H6" s="31">
        <v>4</v>
      </c>
      <c r="I6" s="31">
        <f t="shared" si="0"/>
        <v>7</v>
      </c>
      <c r="J6" s="31">
        <f t="shared" si="0"/>
        <v>14</v>
      </c>
      <c r="K6" s="31">
        <v>0</v>
      </c>
      <c r="L6" s="31">
        <v>0</v>
      </c>
      <c r="M6" s="31">
        <v>5</v>
      </c>
      <c r="N6" s="31">
        <v>10</v>
      </c>
      <c r="O6" s="31">
        <f t="shared" si="1"/>
        <v>14</v>
      </c>
      <c r="P6" s="31">
        <f t="shared" si="2"/>
        <v>15</v>
      </c>
      <c r="Q6" s="31">
        <v>2</v>
      </c>
      <c r="R6" s="31">
        <v>4</v>
      </c>
      <c r="S6" s="31">
        <v>4</v>
      </c>
      <c r="T6" s="31">
        <v>5</v>
      </c>
      <c r="U6" s="31">
        <v>1</v>
      </c>
      <c r="V6" s="32">
        <f t="shared" si="3"/>
        <v>0.5</v>
      </c>
      <c r="W6" s="32">
        <f t="shared" si="4"/>
        <v>0</v>
      </c>
      <c r="X6" s="32">
        <f t="shared" si="5"/>
        <v>0.7</v>
      </c>
      <c r="Y6" s="32">
        <f t="shared" si="6"/>
        <v>0</v>
      </c>
      <c r="Z6" s="33">
        <f t="shared" si="7"/>
        <v>16.3</v>
      </c>
      <c r="AA6" s="33" t="str">
        <f t="shared" si="9"/>
        <v>REG</v>
      </c>
      <c r="AB6" s="65"/>
      <c r="AC6" s="65"/>
      <c r="AD6" s="65"/>
      <c r="AE6" s="65"/>
      <c r="AF6" s="65"/>
      <c r="AG6" s="65"/>
      <c r="AH6" s="65"/>
      <c r="AI6" s="65"/>
      <c r="AJ6" s="65"/>
      <c r="AK6" s="65"/>
      <c r="AL6" s="65"/>
      <c r="AM6" s="65"/>
      <c r="AN6" s="65"/>
      <c r="AO6" s="65"/>
      <c r="AP6" s="65"/>
      <c r="AQ6" s="65"/>
      <c r="AR6" s="65"/>
      <c r="AS6" s="65"/>
      <c r="AT6" s="65"/>
      <c r="AU6" s="65"/>
      <c r="AV6" s="65"/>
      <c r="AW6" s="65"/>
      <c r="AX6" s="65"/>
      <c r="AY6" s="65"/>
      <c r="AZ6" s="65"/>
      <c r="BA6" s="65"/>
      <c r="BB6" s="65"/>
      <c r="BC6" s="65"/>
      <c r="BD6" s="65"/>
      <c r="BE6" s="65"/>
      <c r="BF6" s="65"/>
      <c r="BG6" s="65"/>
      <c r="BH6" s="65"/>
      <c r="BI6" s="65"/>
      <c r="BJ6" s="65"/>
      <c r="BK6" s="65"/>
      <c r="BL6" s="65"/>
      <c r="BM6" s="65"/>
      <c r="BN6" s="65"/>
      <c r="BO6" s="65"/>
      <c r="BP6" s="65"/>
      <c r="BQ6" s="65"/>
      <c r="BR6" s="65"/>
      <c r="BS6" s="65"/>
      <c r="BT6" s="65"/>
      <c r="BU6" s="65"/>
      <c r="BV6" s="65"/>
      <c r="BW6" s="65"/>
      <c r="BX6" s="65"/>
      <c r="BY6" s="65"/>
      <c r="BZ6" s="65"/>
      <c r="CA6" s="65"/>
      <c r="CB6" s="65"/>
      <c r="CC6" s="65"/>
      <c r="CD6" s="65"/>
      <c r="CE6" s="65"/>
      <c r="CF6" s="65"/>
      <c r="CG6" s="65"/>
      <c r="CH6" s="65"/>
      <c r="CI6" s="65"/>
      <c r="CJ6" s="65"/>
      <c r="CK6" s="65"/>
      <c r="CL6" s="65"/>
      <c r="CM6" s="65"/>
      <c r="CN6" s="65"/>
      <c r="CO6" s="65"/>
      <c r="CP6" s="65"/>
      <c r="CQ6" s="65"/>
      <c r="CR6" s="65"/>
      <c r="CS6" s="65"/>
      <c r="CT6" s="65"/>
      <c r="CU6" s="65"/>
      <c r="CV6" s="65"/>
      <c r="CW6" s="65"/>
      <c r="CX6" s="65"/>
      <c r="CY6" s="65"/>
      <c r="CZ6" s="65"/>
      <c r="DA6" s="65"/>
      <c r="DB6" s="65"/>
      <c r="DC6" s="65"/>
      <c r="DD6" s="65"/>
      <c r="DE6" s="65"/>
      <c r="DF6" s="65"/>
      <c r="DG6" s="65"/>
      <c r="DH6" s="65"/>
      <c r="DI6" s="65"/>
      <c r="DJ6" s="65"/>
      <c r="DK6" s="65"/>
      <c r="DL6" s="65"/>
      <c r="DM6" s="65"/>
      <c r="DN6" s="65"/>
      <c r="DO6" s="65"/>
      <c r="DP6" s="65"/>
      <c r="DQ6" s="65"/>
      <c r="DR6" s="65"/>
      <c r="DS6" s="65"/>
      <c r="DT6" s="65"/>
      <c r="DU6" s="65"/>
      <c r="DV6" s="65"/>
      <c r="DW6" s="65"/>
      <c r="DX6" s="65"/>
      <c r="DY6" s="65"/>
      <c r="DZ6" s="65"/>
      <c r="EA6" s="65"/>
      <c r="EB6" s="65"/>
      <c r="EC6" s="65"/>
      <c r="ED6" s="65"/>
      <c r="EE6" s="65"/>
      <c r="EF6" s="65"/>
      <c r="EG6" s="65"/>
      <c r="EH6" s="65"/>
      <c r="EI6" s="65"/>
      <c r="EJ6" s="65"/>
      <c r="EK6" s="65"/>
      <c r="EL6" s="65"/>
      <c r="EM6" s="65"/>
      <c r="EN6" s="65"/>
      <c r="EO6" s="65"/>
      <c r="EP6" s="65"/>
      <c r="EQ6" s="65"/>
      <c r="ER6" s="65"/>
      <c r="ES6" s="65"/>
      <c r="ET6" s="65"/>
      <c r="EU6" s="65"/>
      <c r="EV6" s="65"/>
      <c r="EW6" s="65"/>
      <c r="EX6" s="65"/>
      <c r="EY6" s="65"/>
      <c r="EZ6" s="65"/>
      <c r="FA6" s="65"/>
      <c r="FB6" s="65"/>
      <c r="FC6" s="65"/>
      <c r="FD6" s="65"/>
      <c r="FE6" s="65"/>
      <c r="FF6" s="65"/>
      <c r="FG6" s="65"/>
      <c r="FH6" s="65"/>
      <c r="FI6" s="65"/>
      <c r="FJ6" s="65"/>
      <c r="FK6" s="65"/>
      <c r="FL6" s="65"/>
      <c r="FM6" s="65"/>
      <c r="FN6" s="65"/>
      <c r="FO6" s="65"/>
      <c r="FP6" s="65"/>
      <c r="FQ6" s="65"/>
      <c r="FR6" s="65"/>
      <c r="FS6" s="65"/>
      <c r="FT6" s="65"/>
      <c r="FU6" s="65"/>
      <c r="FV6" s="65"/>
      <c r="FW6" s="65"/>
      <c r="FX6" s="65"/>
      <c r="FY6" s="65"/>
      <c r="FZ6" s="65"/>
      <c r="GA6" s="65"/>
      <c r="GB6" s="65"/>
      <c r="GC6" s="65"/>
      <c r="GD6" s="65"/>
      <c r="GE6" s="65"/>
      <c r="GF6" s="65"/>
      <c r="GG6" s="65"/>
      <c r="GH6" s="65"/>
      <c r="GI6" s="65"/>
      <c r="GJ6" s="65"/>
      <c r="GK6" s="65"/>
      <c r="GL6" s="65"/>
      <c r="GM6" s="65"/>
      <c r="GN6" s="65"/>
      <c r="GO6" s="65"/>
      <c r="GP6" s="65"/>
      <c r="GQ6" s="65"/>
      <c r="GR6" s="65"/>
      <c r="GS6" s="65"/>
      <c r="GT6" s="65"/>
      <c r="GU6" s="65"/>
      <c r="GV6" s="65"/>
      <c r="GW6" s="65"/>
      <c r="GX6" s="65"/>
      <c r="GY6" s="65"/>
      <c r="GZ6" s="65"/>
      <c r="HA6" s="65"/>
      <c r="HB6" s="65"/>
      <c r="HC6" s="65"/>
      <c r="HD6" s="65"/>
      <c r="HE6" s="65"/>
      <c r="HF6" s="65"/>
      <c r="HG6" s="65"/>
      <c r="HH6" s="65"/>
      <c r="HI6" s="65"/>
      <c r="HJ6" s="65"/>
      <c r="HK6" s="65"/>
      <c r="HL6" s="65"/>
      <c r="HM6" s="65"/>
      <c r="HN6" s="65"/>
      <c r="HO6" s="65"/>
      <c r="HP6" s="65"/>
      <c r="HQ6" s="65"/>
      <c r="HR6" s="65"/>
      <c r="HS6" s="65"/>
      <c r="HT6" s="65"/>
      <c r="HU6" s="65"/>
      <c r="HV6" s="65"/>
      <c r="HW6" s="65"/>
      <c r="HX6" s="65"/>
      <c r="HY6" s="65"/>
      <c r="HZ6" s="65"/>
      <c r="IA6" s="65"/>
      <c r="IB6" s="65"/>
      <c r="IC6" s="65"/>
      <c r="ID6" s="65"/>
      <c r="IE6" s="65"/>
      <c r="IF6" s="65"/>
      <c r="IG6" s="65"/>
      <c r="IH6" s="65"/>
      <c r="II6" s="65"/>
      <c r="IJ6" s="65"/>
      <c r="IK6" s="65"/>
      <c r="IL6" s="65"/>
      <c r="IM6" s="65"/>
      <c r="IN6" s="65"/>
      <c r="IO6" s="65"/>
      <c r="IP6" s="65"/>
      <c r="IQ6" s="65"/>
      <c r="IR6" s="65"/>
      <c r="IS6" s="65"/>
      <c r="IT6" s="65"/>
      <c r="IU6" s="65"/>
      <c r="IV6" s="65"/>
      <c r="IW6" s="65"/>
      <c r="IX6" s="65"/>
      <c r="IY6" s="65"/>
      <c r="IZ6" s="65"/>
      <c r="JA6" s="65"/>
      <c r="JB6" s="65"/>
      <c r="JC6" s="65"/>
      <c r="JD6" s="65"/>
      <c r="JE6" s="65"/>
      <c r="JF6" s="65"/>
      <c r="JG6" s="65"/>
      <c r="JH6" s="65"/>
      <c r="JI6" s="65"/>
      <c r="JJ6" s="65"/>
      <c r="JK6" s="65"/>
      <c r="JL6" s="65"/>
      <c r="JM6" s="65"/>
      <c r="JN6" s="65"/>
      <c r="JO6" s="65"/>
      <c r="JP6" s="65"/>
      <c r="JQ6" s="65"/>
      <c r="JR6" s="65"/>
      <c r="JS6" s="65"/>
      <c r="JT6" s="65"/>
      <c r="JU6" s="65"/>
      <c r="JV6" s="65"/>
      <c r="JW6" s="65"/>
      <c r="JX6" s="3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5"/>
      <c r="KQ6" s="5"/>
      <c r="KR6" s="5"/>
      <c r="KS6" s="5"/>
      <c r="KT6" s="6"/>
      <c r="KU6" s="3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5"/>
      <c r="LN6" s="5"/>
      <c r="LO6" s="5"/>
      <c r="LP6" s="5"/>
      <c r="LQ6" s="6"/>
      <c r="LR6" s="3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5"/>
      <c r="MK6" s="5"/>
      <c r="ML6" s="5"/>
      <c r="MM6" s="5"/>
      <c r="MN6" s="6"/>
      <c r="MO6" s="3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5"/>
      <c r="NH6" s="5"/>
      <c r="NI6" s="5"/>
      <c r="NJ6" s="5"/>
      <c r="NK6" s="6"/>
      <c r="NL6" s="3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5"/>
      <c r="OE6" s="5"/>
      <c r="OF6" s="5"/>
      <c r="OG6" s="5"/>
      <c r="OH6" s="6"/>
      <c r="OI6" s="3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5"/>
      <c r="PB6" s="5"/>
      <c r="PC6" s="5"/>
      <c r="PD6" s="5"/>
      <c r="PE6" s="6"/>
      <c r="PF6" s="3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5"/>
      <c r="PY6" s="5"/>
      <c r="PZ6" s="5"/>
      <c r="QA6" s="5"/>
      <c r="QB6" s="6"/>
      <c r="QC6" s="3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5"/>
      <c r="QV6" s="5"/>
      <c r="QW6" s="5"/>
      <c r="QX6" s="5"/>
      <c r="QY6" s="6"/>
      <c r="QZ6" s="1"/>
      <c r="RA6" s="1"/>
      <c r="RB6" s="1"/>
      <c r="RC6" s="1"/>
      <c r="RD6" s="1"/>
      <c r="RE6" s="1"/>
      <c r="RF6" s="1"/>
      <c r="RG6" s="1"/>
      <c r="RH6" s="1"/>
      <c r="RI6" s="1"/>
      <c r="RJ6" s="1"/>
      <c r="RK6" s="1"/>
      <c r="RL6" s="1"/>
      <c r="RM6" s="1"/>
      <c r="RN6" s="1"/>
      <c r="RO6" s="1"/>
      <c r="RP6" s="1"/>
      <c r="RQ6" s="1"/>
      <c r="RR6" s="1"/>
      <c r="RS6" s="1"/>
      <c r="RT6" s="1"/>
      <c r="RU6" s="1"/>
      <c r="RV6" s="1"/>
      <c r="RW6" s="1"/>
      <c r="RX6" s="1"/>
      <c r="RY6" s="1"/>
      <c r="RZ6" s="1"/>
      <c r="SA6" s="1"/>
      <c r="SB6" s="1"/>
      <c r="SC6" s="1"/>
      <c r="SD6" s="1"/>
      <c r="SE6" s="1"/>
      <c r="SF6" s="1"/>
      <c r="SG6" s="1"/>
      <c r="SH6" s="1"/>
      <c r="SI6" s="1"/>
      <c r="SJ6" s="1"/>
      <c r="SK6" s="1"/>
      <c r="SL6" s="1"/>
      <c r="SM6" s="1"/>
      <c r="SN6" s="1"/>
      <c r="SO6" s="1"/>
      <c r="SP6" s="1"/>
      <c r="SQ6" s="1"/>
      <c r="SR6" s="1"/>
      <c r="SS6" s="1"/>
      <c r="ST6" s="1"/>
      <c r="SU6" s="1"/>
      <c r="SV6" s="1"/>
      <c r="SW6" s="1"/>
      <c r="SX6" s="1"/>
      <c r="SY6" s="1"/>
      <c r="SZ6" s="1"/>
      <c r="TA6" s="1"/>
      <c r="TB6" s="1"/>
      <c r="TC6" s="1"/>
      <c r="TD6" s="1"/>
      <c r="TE6" s="1"/>
      <c r="TF6" s="1"/>
      <c r="TG6" s="1"/>
      <c r="TH6" s="1"/>
      <c r="TI6" s="1"/>
      <c r="TJ6" s="1"/>
      <c r="TK6" s="1"/>
      <c r="TL6" s="1"/>
      <c r="TM6" s="1"/>
      <c r="TN6" s="1"/>
      <c r="TO6" s="1"/>
      <c r="TP6" s="1"/>
      <c r="TQ6" s="1"/>
      <c r="TR6" s="1"/>
      <c r="TS6" s="1"/>
    </row>
    <row r="7" spans="1:539" s="67" customFormat="1" ht="40" customHeight="1" x14ac:dyDescent="0.2">
      <c r="A7" s="66" t="str">
        <f>A6</f>
        <v>MAGIC 2</v>
      </c>
      <c r="B7" s="7">
        <f>B6</f>
        <v>7</v>
      </c>
      <c r="C7" s="7">
        <f>C6</f>
        <v>1</v>
      </c>
      <c r="D7" s="66" t="s">
        <v>31</v>
      </c>
      <c r="E7" s="17">
        <f>SUM(E2:E6)</f>
        <v>36</v>
      </c>
      <c r="F7" s="17">
        <f t="shared" ref="F7:U7" si="10">SUM(F2:F6)</f>
        <v>51</v>
      </c>
      <c r="G7" s="17">
        <f t="shared" si="10"/>
        <v>2</v>
      </c>
      <c r="H7" s="17">
        <f t="shared" si="10"/>
        <v>22</v>
      </c>
      <c r="I7" s="17">
        <f t="shared" si="10"/>
        <v>38</v>
      </c>
      <c r="J7" s="17">
        <f t="shared" si="10"/>
        <v>73</v>
      </c>
      <c r="K7" s="17">
        <f t="shared" si="10"/>
        <v>3</v>
      </c>
      <c r="L7" s="17">
        <f t="shared" si="10"/>
        <v>4</v>
      </c>
      <c r="M7" s="17">
        <f t="shared" si="10"/>
        <v>11</v>
      </c>
      <c r="N7" s="17">
        <f t="shared" si="10"/>
        <v>33</v>
      </c>
      <c r="O7" s="17">
        <f t="shared" si="10"/>
        <v>81</v>
      </c>
      <c r="P7" s="17">
        <f t="shared" si="10"/>
        <v>44</v>
      </c>
      <c r="Q7" s="17">
        <f t="shared" si="10"/>
        <v>28</v>
      </c>
      <c r="R7" s="17">
        <f t="shared" si="10"/>
        <v>4</v>
      </c>
      <c r="S7" s="17">
        <f t="shared" si="10"/>
        <v>9</v>
      </c>
      <c r="T7" s="17">
        <f t="shared" si="10"/>
        <v>14</v>
      </c>
      <c r="U7" s="17">
        <f t="shared" si="10"/>
        <v>2</v>
      </c>
      <c r="V7" s="68">
        <f t="shared" ref="V7" si="11">IFERROR(I7/J7,0)</f>
        <v>0.52054794520547942</v>
      </c>
      <c r="W7" s="68">
        <f t="shared" ref="W7" si="12">IFERROR(K7/L7,0)</f>
        <v>0.75</v>
      </c>
      <c r="X7" s="68">
        <f t="shared" ref="X7" si="13">IFERROR(E7/F7,0)</f>
        <v>0.70588235294117652</v>
      </c>
      <c r="Y7" s="68">
        <f t="shared" ref="Y7" si="14">IFERROR(G7/H7,0)</f>
        <v>9.0909090909090912E-2</v>
      </c>
      <c r="Z7" s="69">
        <f>AVERAGE(Z2:Z6)</f>
        <v>15.780000000000001</v>
      </c>
      <c r="AA7" s="69" t="str">
        <f t="shared" si="9"/>
        <v>REG</v>
      </c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50"/>
      <c r="JY7" s="48"/>
      <c r="JZ7" s="48"/>
      <c r="KA7" s="48"/>
      <c r="KB7" s="48"/>
      <c r="KC7" s="48"/>
      <c r="KD7" s="48"/>
      <c r="KE7" s="48"/>
      <c r="KF7" s="48"/>
      <c r="KG7" s="48"/>
      <c r="KH7" s="48"/>
      <c r="KI7" s="48"/>
      <c r="KJ7" s="48"/>
      <c r="KK7" s="48"/>
      <c r="KL7" s="48"/>
      <c r="KM7" s="48"/>
      <c r="KN7" s="48"/>
      <c r="KO7" s="48"/>
      <c r="KP7" s="46"/>
      <c r="KQ7" s="46"/>
      <c r="KR7" s="46"/>
      <c r="KS7" s="46"/>
      <c r="KT7" s="47"/>
      <c r="KU7" s="50"/>
      <c r="KV7" s="48"/>
      <c r="KW7" s="48"/>
      <c r="KX7" s="48"/>
      <c r="KY7" s="48"/>
      <c r="KZ7" s="48"/>
      <c r="LA7" s="48"/>
      <c r="LB7" s="48"/>
      <c r="LC7" s="48"/>
      <c r="LD7" s="48"/>
      <c r="LE7" s="48"/>
      <c r="LF7" s="48"/>
      <c r="LG7" s="48"/>
      <c r="LH7" s="48"/>
      <c r="LI7" s="48"/>
      <c r="LJ7" s="48"/>
      <c r="LK7" s="48"/>
      <c r="LL7" s="48"/>
      <c r="LM7" s="46"/>
      <c r="LN7" s="46"/>
      <c r="LO7" s="46"/>
      <c r="LP7" s="46"/>
      <c r="LQ7" s="47"/>
      <c r="LR7" s="50"/>
      <c r="LS7" s="48"/>
      <c r="LT7" s="48"/>
      <c r="LU7" s="48"/>
      <c r="LV7" s="48"/>
      <c r="LW7" s="48"/>
      <c r="LX7" s="48"/>
      <c r="LY7" s="48"/>
      <c r="LZ7" s="48"/>
      <c r="MA7" s="48"/>
      <c r="MB7" s="48"/>
      <c r="MC7" s="48"/>
      <c r="MD7" s="48"/>
      <c r="ME7" s="48"/>
      <c r="MF7" s="48"/>
      <c r="MG7" s="48"/>
      <c r="MH7" s="48"/>
      <c r="MI7" s="48"/>
      <c r="MJ7" s="46"/>
      <c r="MK7" s="46"/>
      <c r="ML7" s="46"/>
      <c r="MM7" s="46"/>
      <c r="MN7" s="47"/>
      <c r="MO7" s="50"/>
      <c r="MP7" s="48"/>
      <c r="MQ7" s="48"/>
      <c r="MR7" s="48"/>
      <c r="MS7" s="48"/>
      <c r="MT7" s="48"/>
      <c r="MU7" s="48"/>
      <c r="MV7" s="48"/>
      <c r="MW7" s="48"/>
      <c r="MX7" s="48"/>
      <c r="MY7" s="48"/>
      <c r="MZ7" s="48"/>
      <c r="NA7" s="48"/>
      <c r="NB7" s="48"/>
      <c r="NC7" s="48"/>
      <c r="ND7" s="48"/>
      <c r="NE7" s="48"/>
      <c r="NF7" s="48"/>
      <c r="NG7" s="46"/>
      <c r="NH7" s="46"/>
      <c r="NI7" s="46"/>
      <c r="NJ7" s="46"/>
      <c r="NK7" s="47"/>
      <c r="NL7" s="50"/>
      <c r="NM7" s="48"/>
      <c r="NN7" s="48"/>
      <c r="NO7" s="48"/>
      <c r="NP7" s="48"/>
      <c r="NQ7" s="48"/>
      <c r="NR7" s="48"/>
      <c r="NS7" s="48"/>
      <c r="NT7" s="48"/>
      <c r="NU7" s="48"/>
      <c r="NV7" s="48"/>
      <c r="NW7" s="48"/>
      <c r="NX7" s="48"/>
      <c r="NY7" s="48"/>
      <c r="NZ7" s="48"/>
      <c r="OA7" s="48"/>
      <c r="OB7" s="48"/>
      <c r="OC7" s="48"/>
      <c r="OD7" s="46"/>
      <c r="OE7" s="46"/>
      <c r="OF7" s="46"/>
      <c r="OG7" s="46"/>
      <c r="OH7" s="47"/>
      <c r="OI7" s="50"/>
      <c r="OJ7" s="48"/>
      <c r="OK7" s="48"/>
      <c r="OL7" s="48"/>
      <c r="OM7" s="48"/>
      <c r="ON7" s="48"/>
      <c r="OO7" s="48"/>
      <c r="OP7" s="48"/>
      <c r="OQ7" s="48"/>
      <c r="OR7" s="48"/>
      <c r="OS7" s="48"/>
      <c r="OT7" s="48"/>
      <c r="OU7" s="48"/>
      <c r="OV7" s="48"/>
      <c r="OW7" s="48"/>
      <c r="OX7" s="48"/>
      <c r="OY7" s="48"/>
      <c r="OZ7" s="48"/>
      <c r="PA7" s="46"/>
      <c r="PB7" s="46"/>
      <c r="PC7" s="46"/>
      <c r="PD7" s="46"/>
      <c r="PE7" s="47"/>
      <c r="PF7" s="50"/>
      <c r="PG7" s="48"/>
      <c r="PH7" s="48"/>
      <c r="PI7" s="48"/>
      <c r="PJ7" s="48"/>
      <c r="PK7" s="48"/>
      <c r="PL7" s="48"/>
      <c r="PM7" s="48"/>
      <c r="PN7" s="48"/>
      <c r="PO7" s="48"/>
      <c r="PP7" s="48"/>
      <c r="PQ7" s="48"/>
      <c r="PR7" s="48"/>
      <c r="PS7" s="48"/>
      <c r="PT7" s="48"/>
      <c r="PU7" s="48"/>
      <c r="PV7" s="48"/>
      <c r="PW7" s="48"/>
      <c r="PX7" s="46"/>
      <c r="PY7" s="46"/>
      <c r="PZ7" s="46"/>
      <c r="QA7" s="46"/>
      <c r="QB7" s="47"/>
      <c r="QC7" s="50"/>
      <c r="QD7" s="48"/>
      <c r="QE7" s="48"/>
      <c r="QF7" s="48"/>
      <c r="QG7" s="48"/>
      <c r="QH7" s="48"/>
      <c r="QI7" s="48"/>
      <c r="QJ7" s="48"/>
      <c r="QK7" s="48"/>
      <c r="QL7" s="48"/>
      <c r="QM7" s="48"/>
      <c r="QN7" s="48"/>
      <c r="QO7" s="48"/>
      <c r="QP7" s="48"/>
      <c r="QQ7" s="48"/>
      <c r="QR7" s="48"/>
      <c r="QS7" s="48"/>
      <c r="QT7" s="48"/>
      <c r="QU7" s="46"/>
      <c r="QV7" s="46"/>
      <c r="QW7" s="46"/>
      <c r="QX7" s="46"/>
      <c r="QY7" s="47"/>
      <c r="QZ7" s="1"/>
      <c r="RA7" s="1"/>
      <c r="RB7" s="1"/>
      <c r="RC7" s="1"/>
      <c r="RD7" s="1"/>
      <c r="RE7" s="1"/>
      <c r="RF7" s="1"/>
      <c r="RG7" s="1"/>
      <c r="RH7" s="1"/>
      <c r="RI7" s="1"/>
      <c r="RJ7" s="1"/>
      <c r="RK7" s="1"/>
      <c r="RL7" s="1"/>
      <c r="RM7" s="1"/>
      <c r="RN7" s="1"/>
      <c r="RO7" s="1"/>
      <c r="RP7" s="1"/>
      <c r="RQ7" s="1"/>
      <c r="RR7" s="1"/>
      <c r="RS7" s="1"/>
      <c r="RT7" s="1"/>
      <c r="RU7" s="1"/>
      <c r="RV7" s="1"/>
      <c r="RW7" s="1"/>
      <c r="RX7" s="1"/>
      <c r="RY7" s="1"/>
      <c r="RZ7" s="1"/>
      <c r="SA7" s="1"/>
      <c r="SB7" s="1"/>
      <c r="SC7" s="1"/>
      <c r="SD7" s="1"/>
      <c r="SE7" s="1"/>
      <c r="SF7" s="1"/>
      <c r="SG7" s="1"/>
      <c r="SH7" s="1"/>
      <c r="SI7" s="1"/>
      <c r="SJ7" s="1"/>
      <c r="SK7" s="1"/>
      <c r="SL7" s="1"/>
      <c r="SM7" s="1"/>
      <c r="SN7" s="1"/>
      <c r="SO7" s="1"/>
      <c r="SP7" s="1"/>
      <c r="SQ7" s="1"/>
      <c r="SR7" s="1"/>
      <c r="SS7" s="1"/>
      <c r="ST7" s="1"/>
      <c r="SU7" s="1"/>
      <c r="SV7" s="1"/>
      <c r="SW7" s="1"/>
      <c r="SX7" s="1"/>
      <c r="SY7" s="1"/>
      <c r="SZ7" s="1"/>
      <c r="TA7" s="1"/>
      <c r="TB7" s="1"/>
      <c r="TC7" s="1"/>
      <c r="TD7" s="1"/>
      <c r="TE7" s="1"/>
      <c r="TF7" s="1"/>
      <c r="TG7" s="1"/>
      <c r="TH7" s="1"/>
      <c r="TI7" s="1"/>
      <c r="TJ7" s="1"/>
      <c r="TK7" s="1"/>
      <c r="TL7" s="1"/>
      <c r="TM7" s="1"/>
      <c r="TN7" s="1"/>
      <c r="TO7" s="1"/>
      <c r="TP7" s="1"/>
      <c r="TQ7" s="1"/>
      <c r="TR7" s="1"/>
      <c r="TS7" s="1"/>
    </row>
    <row r="8" spans="1:539" s="34" customFormat="1" ht="40" customHeight="1" x14ac:dyDescent="0.2">
      <c r="A8" s="34" t="s">
        <v>30</v>
      </c>
      <c r="B8" s="7">
        <v>7</v>
      </c>
      <c r="C8" s="7">
        <v>1</v>
      </c>
      <c r="D8" s="34" t="s">
        <v>22</v>
      </c>
      <c r="O8" s="34">
        <v>75</v>
      </c>
      <c r="AA8" s="34" t="str">
        <f t="shared" si="9"/>
        <v>REG</v>
      </c>
      <c r="RW8" s="1"/>
      <c r="RX8" s="1"/>
      <c r="RY8" s="1"/>
      <c r="RZ8" s="1"/>
      <c r="SA8" s="1"/>
      <c r="SB8" s="1"/>
      <c r="SC8" s="1"/>
      <c r="SD8" s="1"/>
      <c r="SE8" s="1"/>
      <c r="SF8" s="1"/>
      <c r="SG8" s="1"/>
      <c r="SH8" s="1"/>
      <c r="SI8" s="1"/>
      <c r="SJ8" s="1"/>
      <c r="SK8" s="1"/>
      <c r="SL8" s="1"/>
      <c r="SM8" s="1"/>
      <c r="SN8" s="1"/>
      <c r="SO8" s="1"/>
      <c r="SP8" s="1"/>
      <c r="SQ8" s="1"/>
      <c r="SR8" s="1"/>
      <c r="SS8" s="1"/>
      <c r="ST8" s="1"/>
      <c r="SU8" s="1"/>
      <c r="SV8" s="1"/>
      <c r="SW8" s="1"/>
      <c r="SX8" s="1"/>
      <c r="SY8" s="1"/>
      <c r="SZ8" s="1"/>
      <c r="TA8" s="1"/>
      <c r="TB8" s="1"/>
      <c r="TC8" s="1"/>
      <c r="TD8" s="1"/>
      <c r="TE8" s="1"/>
      <c r="TF8" s="1"/>
      <c r="TG8" s="1"/>
      <c r="TH8" s="1"/>
      <c r="TI8" s="1"/>
      <c r="TJ8" s="1"/>
      <c r="TK8" s="1"/>
      <c r="TL8" s="1"/>
      <c r="TM8" s="1"/>
      <c r="TN8" s="1"/>
      <c r="TO8" s="1"/>
      <c r="TP8" s="1"/>
      <c r="TQ8" s="1"/>
      <c r="TR8" s="1"/>
      <c r="TS8" s="1"/>
    </row>
    <row r="9" spans="1:539" ht="40" customHeight="1" x14ac:dyDescent="0.2">
      <c r="A9" s="7" t="str">
        <f>D15</f>
        <v>LIGHTNING 3</v>
      </c>
      <c r="B9" s="7">
        <v>7</v>
      </c>
      <c r="C9" s="7">
        <v>2</v>
      </c>
      <c r="D9" s="7" t="str">
        <f>D2</f>
        <v>Lachlan Farley</v>
      </c>
      <c r="E9" s="19">
        <v>12</v>
      </c>
      <c r="F9" s="19">
        <v>20</v>
      </c>
      <c r="G9" s="19">
        <v>1</v>
      </c>
      <c r="H9" s="19">
        <v>4</v>
      </c>
      <c r="I9" s="19">
        <f>E9+G9</f>
        <v>13</v>
      </c>
      <c r="J9" s="19">
        <f>F9+H9</f>
        <v>24</v>
      </c>
      <c r="K9" s="19">
        <v>1</v>
      </c>
      <c r="L9" s="19">
        <v>4</v>
      </c>
      <c r="M9" s="19">
        <v>10</v>
      </c>
      <c r="N9" s="19">
        <v>10</v>
      </c>
      <c r="O9" s="19">
        <f>E9*2+G9*3+K9</f>
        <v>28</v>
      </c>
      <c r="P9" s="19">
        <f>M9+N9</f>
        <v>20</v>
      </c>
      <c r="Q9" s="19">
        <v>7</v>
      </c>
      <c r="R9" s="19">
        <v>0</v>
      </c>
      <c r="S9" s="19">
        <v>1</v>
      </c>
      <c r="T9" s="19">
        <v>6</v>
      </c>
      <c r="U9" s="19">
        <v>0</v>
      </c>
      <c r="V9" s="20">
        <f>IFERROR(I9/J9,0)</f>
        <v>0.54166666666666663</v>
      </c>
      <c r="W9" s="20">
        <f>IFERROR(K9/L9,0)</f>
        <v>0.25</v>
      </c>
      <c r="X9" s="20">
        <f>IFERROR(E9/F9,0)</f>
        <v>0.6</v>
      </c>
      <c r="Y9" s="20">
        <f>IFERROR(G9/H9,0)</f>
        <v>0.25</v>
      </c>
      <c r="Z9" s="21">
        <f>(O9)+(0.4*I9)-(0.7*J9)-(0.4*(L9-K9))+(0.7*M9)+(0.3*N9)+S9+(0.7*Q9)+(0.7*R9)-(0.4*U9)-T9</f>
        <v>25.100000000000005</v>
      </c>
      <c r="AA9" s="21" t="s">
        <v>33</v>
      </c>
      <c r="DB9" s="2"/>
      <c r="DC9" s="2"/>
      <c r="HG9" s="34"/>
      <c r="HH9" s="35"/>
      <c r="HI9" s="35"/>
      <c r="HJ9" s="35"/>
      <c r="HK9" s="35"/>
      <c r="HL9" s="35"/>
      <c r="HM9" s="35"/>
      <c r="HN9" s="35"/>
      <c r="HO9" s="35"/>
      <c r="HP9" s="36"/>
      <c r="HQ9" s="36"/>
      <c r="HR9" s="35"/>
      <c r="HS9" s="36"/>
      <c r="HT9" s="36"/>
      <c r="HU9" s="36"/>
      <c r="HV9" s="36"/>
      <c r="HW9" s="36"/>
      <c r="HX9" s="36"/>
      <c r="HY9" s="37"/>
      <c r="HZ9" s="37"/>
      <c r="IA9" s="37"/>
      <c r="IB9" s="37"/>
    </row>
    <row r="10" spans="1:539" ht="40" customHeight="1" x14ac:dyDescent="0.2">
      <c r="A10" s="7" t="str">
        <f>A9</f>
        <v>LIGHTNING 3</v>
      </c>
      <c r="B10" s="7">
        <v>7</v>
      </c>
      <c r="C10" s="7">
        <f>C9</f>
        <v>2</v>
      </c>
      <c r="D10" s="7" t="str">
        <f>D3</f>
        <v>Josh Huxtable</v>
      </c>
      <c r="E10" s="22">
        <v>6</v>
      </c>
      <c r="F10" s="22">
        <v>15</v>
      </c>
      <c r="G10" s="22">
        <v>1</v>
      </c>
      <c r="H10" s="22">
        <v>3</v>
      </c>
      <c r="I10" s="22">
        <f t="shared" ref="I10:J13" si="15">E10+G10</f>
        <v>7</v>
      </c>
      <c r="J10" s="22">
        <f t="shared" si="15"/>
        <v>18</v>
      </c>
      <c r="K10" s="22">
        <v>0</v>
      </c>
      <c r="L10" s="22">
        <v>0</v>
      </c>
      <c r="M10" s="22">
        <v>6</v>
      </c>
      <c r="N10" s="22">
        <v>4</v>
      </c>
      <c r="O10" s="22">
        <f t="shared" ref="O10:O13" si="16">E10*2+G10*3+K10</f>
        <v>15</v>
      </c>
      <c r="P10" s="22">
        <f t="shared" ref="P10:P13" si="17">M10+N10</f>
        <v>10</v>
      </c>
      <c r="Q10" s="22">
        <v>10</v>
      </c>
      <c r="R10" s="22">
        <v>1</v>
      </c>
      <c r="S10" s="22">
        <v>6</v>
      </c>
      <c r="T10" s="22">
        <v>4</v>
      </c>
      <c r="U10" s="22">
        <v>0</v>
      </c>
      <c r="V10" s="23">
        <f t="shared" ref="V10:V14" si="18">IFERROR(I10/J10,0)</f>
        <v>0.3888888888888889</v>
      </c>
      <c r="W10" s="23">
        <f t="shared" ref="W10:W14" si="19">IFERROR(K10/L10,0)</f>
        <v>0</v>
      </c>
      <c r="X10" s="23">
        <f t="shared" ref="X10:X14" si="20">IFERROR(E10/F10,0)</f>
        <v>0.4</v>
      </c>
      <c r="Y10" s="23">
        <f t="shared" ref="Y10:Y14" si="21">IFERROR(G10/H10,0)</f>
        <v>0.33333333333333331</v>
      </c>
      <c r="Z10" s="24">
        <f t="shared" ref="Z10:Z13" si="22">(O10)+(0.4*I10)-(0.7*J10)-(0.4*(L10-K10))+(0.7*M10)+(0.3*N10)+S10+(0.7*Q10)+(0.7*R10)-(0.4*U10)-T10</f>
        <v>20.3</v>
      </c>
      <c r="AA10" s="24" t="str">
        <f>AA9</f>
        <v>REG</v>
      </c>
    </row>
    <row r="11" spans="1:539" ht="40" customHeight="1" x14ac:dyDescent="0.2">
      <c r="A11" s="7" t="str">
        <f t="shared" ref="A11:A13" si="23">A10</f>
        <v>LIGHTNING 3</v>
      </c>
      <c r="B11" s="7">
        <v>7</v>
      </c>
      <c r="C11" s="7">
        <f t="shared" ref="C11:C13" si="24">C10</f>
        <v>2</v>
      </c>
      <c r="D11" s="7" t="str">
        <f>D4</f>
        <v>Darcy Bishop</v>
      </c>
      <c r="E11" s="25">
        <v>6</v>
      </c>
      <c r="F11" s="25">
        <v>15</v>
      </c>
      <c r="G11" s="25">
        <v>2</v>
      </c>
      <c r="H11" s="25">
        <v>4</v>
      </c>
      <c r="I11" s="25">
        <f t="shared" si="15"/>
        <v>8</v>
      </c>
      <c r="J11" s="25">
        <f t="shared" si="15"/>
        <v>19</v>
      </c>
      <c r="K11" s="25">
        <v>0</v>
      </c>
      <c r="L11" s="25">
        <v>0</v>
      </c>
      <c r="M11" s="25">
        <v>5</v>
      </c>
      <c r="N11" s="25">
        <v>7</v>
      </c>
      <c r="O11" s="25">
        <f t="shared" si="16"/>
        <v>18</v>
      </c>
      <c r="P11" s="25">
        <f t="shared" si="17"/>
        <v>12</v>
      </c>
      <c r="Q11" s="25">
        <v>7</v>
      </c>
      <c r="R11" s="25">
        <v>0</v>
      </c>
      <c r="S11" s="25">
        <v>2</v>
      </c>
      <c r="T11" s="25">
        <v>4</v>
      </c>
      <c r="U11" s="25">
        <v>0</v>
      </c>
      <c r="V11" s="26">
        <f t="shared" si="18"/>
        <v>0.42105263157894735</v>
      </c>
      <c r="W11" s="26">
        <f t="shared" si="19"/>
        <v>0</v>
      </c>
      <c r="X11" s="26">
        <f t="shared" si="20"/>
        <v>0.4</v>
      </c>
      <c r="Y11" s="26">
        <f t="shared" si="21"/>
        <v>0.5</v>
      </c>
      <c r="Z11" s="27">
        <f t="shared" si="22"/>
        <v>16.399999999999999</v>
      </c>
      <c r="AA11" s="27" t="str">
        <f t="shared" si="9"/>
        <v>REG</v>
      </c>
      <c r="DA11" s="2"/>
      <c r="DB11" s="38"/>
      <c r="DC11" s="39"/>
      <c r="DD11" s="40"/>
    </row>
    <row r="12" spans="1:539" ht="40" customHeight="1" x14ac:dyDescent="0.2">
      <c r="A12" s="7" t="str">
        <f t="shared" si="23"/>
        <v>LIGHTNING 3</v>
      </c>
      <c r="B12" s="7">
        <v>7</v>
      </c>
      <c r="C12" s="7">
        <f t="shared" si="24"/>
        <v>2</v>
      </c>
      <c r="D12" s="7" t="str">
        <f>D5</f>
        <v>Harry Coller</v>
      </c>
      <c r="E12" s="28">
        <v>11</v>
      </c>
      <c r="F12" s="28">
        <v>17</v>
      </c>
      <c r="G12" s="28">
        <v>3</v>
      </c>
      <c r="H12" s="28">
        <v>13</v>
      </c>
      <c r="I12" s="28">
        <f t="shared" si="15"/>
        <v>14</v>
      </c>
      <c r="J12" s="28">
        <f t="shared" si="15"/>
        <v>30</v>
      </c>
      <c r="K12" s="28">
        <v>0</v>
      </c>
      <c r="L12" s="28">
        <v>0</v>
      </c>
      <c r="M12" s="28">
        <v>3</v>
      </c>
      <c r="N12" s="28">
        <v>10</v>
      </c>
      <c r="O12" s="28">
        <f t="shared" si="16"/>
        <v>31</v>
      </c>
      <c r="P12" s="28">
        <f t="shared" si="17"/>
        <v>13</v>
      </c>
      <c r="Q12" s="28">
        <v>5</v>
      </c>
      <c r="R12" s="28">
        <v>0</v>
      </c>
      <c r="S12" s="28">
        <v>3</v>
      </c>
      <c r="T12" s="28">
        <v>0</v>
      </c>
      <c r="U12" s="28">
        <v>0</v>
      </c>
      <c r="V12" s="29">
        <f t="shared" si="18"/>
        <v>0.46666666666666667</v>
      </c>
      <c r="W12" s="29">
        <f t="shared" si="19"/>
        <v>0</v>
      </c>
      <c r="X12" s="29">
        <f t="shared" si="20"/>
        <v>0.6470588235294118</v>
      </c>
      <c r="Y12" s="29">
        <f t="shared" si="21"/>
        <v>0.23076923076923078</v>
      </c>
      <c r="Z12" s="30">
        <f t="shared" si="22"/>
        <v>27.200000000000003</v>
      </c>
      <c r="AA12" s="30" t="str">
        <f t="shared" si="9"/>
        <v>REG</v>
      </c>
    </row>
    <row r="13" spans="1:539" ht="40" customHeight="1" x14ac:dyDescent="0.2">
      <c r="A13" s="7" t="str">
        <f t="shared" si="23"/>
        <v>LIGHTNING 3</v>
      </c>
      <c r="B13" s="7">
        <v>7</v>
      </c>
      <c r="C13" s="7">
        <f t="shared" si="24"/>
        <v>2</v>
      </c>
      <c r="D13" s="7" t="str">
        <f>D6</f>
        <v>Adam Blain</v>
      </c>
      <c r="E13" s="31">
        <v>6</v>
      </c>
      <c r="F13" s="31">
        <v>12</v>
      </c>
      <c r="G13" s="31">
        <v>0</v>
      </c>
      <c r="H13" s="31">
        <v>1</v>
      </c>
      <c r="I13" s="31">
        <f t="shared" si="15"/>
        <v>6</v>
      </c>
      <c r="J13" s="31">
        <f t="shared" si="15"/>
        <v>13</v>
      </c>
      <c r="K13" s="31">
        <v>0</v>
      </c>
      <c r="L13" s="31">
        <v>0</v>
      </c>
      <c r="M13" s="31">
        <v>4</v>
      </c>
      <c r="N13" s="31">
        <v>9</v>
      </c>
      <c r="O13" s="31">
        <f t="shared" si="16"/>
        <v>12</v>
      </c>
      <c r="P13" s="31">
        <f t="shared" si="17"/>
        <v>13</v>
      </c>
      <c r="Q13" s="31">
        <v>6</v>
      </c>
      <c r="R13" s="31">
        <v>6</v>
      </c>
      <c r="S13" s="31">
        <v>8</v>
      </c>
      <c r="T13" s="31">
        <v>4</v>
      </c>
      <c r="U13" s="31">
        <v>1</v>
      </c>
      <c r="V13" s="32">
        <f t="shared" si="18"/>
        <v>0.46153846153846156</v>
      </c>
      <c r="W13" s="32">
        <f t="shared" si="19"/>
        <v>0</v>
      </c>
      <c r="X13" s="32">
        <f t="shared" si="20"/>
        <v>0.5</v>
      </c>
      <c r="Y13" s="32">
        <f t="shared" si="21"/>
        <v>0</v>
      </c>
      <c r="Z13" s="33">
        <f t="shared" si="22"/>
        <v>22.8</v>
      </c>
      <c r="AA13" s="33" t="str">
        <f t="shared" si="9"/>
        <v>REG</v>
      </c>
    </row>
    <row r="14" spans="1:539" s="67" customFormat="1" ht="40" customHeight="1" x14ac:dyDescent="0.2">
      <c r="A14" s="66" t="str">
        <f>A13</f>
        <v>LIGHTNING 3</v>
      </c>
      <c r="B14" s="7">
        <f>B13</f>
        <v>7</v>
      </c>
      <c r="C14" s="7">
        <f>C13</f>
        <v>2</v>
      </c>
      <c r="D14" s="66" t="s">
        <v>31</v>
      </c>
      <c r="E14" s="17">
        <f>SUM(E9:E13)</f>
        <v>41</v>
      </c>
      <c r="F14" s="17">
        <f t="shared" ref="F14" si="25">SUM(F9:F13)</f>
        <v>79</v>
      </c>
      <c r="G14" s="17">
        <f t="shared" ref="G14" si="26">SUM(G9:G13)</f>
        <v>7</v>
      </c>
      <c r="H14" s="17">
        <f t="shared" ref="H14" si="27">SUM(H9:H13)</f>
        <v>25</v>
      </c>
      <c r="I14" s="17">
        <f t="shared" ref="I14" si="28">SUM(I9:I13)</f>
        <v>48</v>
      </c>
      <c r="J14" s="17">
        <f t="shared" ref="J14" si="29">SUM(J9:J13)</f>
        <v>104</v>
      </c>
      <c r="K14" s="17">
        <f t="shared" ref="K14" si="30">SUM(K9:K13)</f>
        <v>1</v>
      </c>
      <c r="L14" s="17">
        <f t="shared" ref="L14" si="31">SUM(L9:L13)</f>
        <v>4</v>
      </c>
      <c r="M14" s="17">
        <f t="shared" ref="M14" si="32">SUM(M9:M13)</f>
        <v>28</v>
      </c>
      <c r="N14" s="17">
        <f t="shared" ref="N14" si="33">SUM(N9:N13)</f>
        <v>40</v>
      </c>
      <c r="O14" s="17">
        <f t="shared" ref="O14" si="34">SUM(O9:O13)</f>
        <v>104</v>
      </c>
      <c r="P14" s="17">
        <f t="shared" ref="P14" si="35">SUM(P9:P13)</f>
        <v>68</v>
      </c>
      <c r="Q14" s="17">
        <f t="shared" ref="Q14" si="36">SUM(Q9:Q13)</f>
        <v>35</v>
      </c>
      <c r="R14" s="17">
        <f t="shared" ref="R14" si="37">SUM(R9:R13)</f>
        <v>7</v>
      </c>
      <c r="S14" s="17">
        <f t="shared" ref="S14" si="38">SUM(S9:S13)</f>
        <v>20</v>
      </c>
      <c r="T14" s="17">
        <f t="shared" ref="T14" si="39">SUM(T9:T13)</f>
        <v>18</v>
      </c>
      <c r="U14" s="17">
        <f t="shared" ref="U14" si="40">SUM(U9:U13)</f>
        <v>1</v>
      </c>
      <c r="V14" s="68">
        <f t="shared" si="18"/>
        <v>0.46153846153846156</v>
      </c>
      <c r="W14" s="68">
        <f t="shared" si="19"/>
        <v>0.25</v>
      </c>
      <c r="X14" s="68">
        <f t="shared" si="20"/>
        <v>0.51898734177215189</v>
      </c>
      <c r="Y14" s="68">
        <f t="shared" si="21"/>
        <v>0.28000000000000003</v>
      </c>
      <c r="Z14" s="69">
        <f>AVERAGE(Z9:Z13)</f>
        <v>22.36</v>
      </c>
      <c r="AA14" s="69" t="str">
        <f t="shared" si="9"/>
        <v>REG</v>
      </c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  <c r="IX14" s="1"/>
      <c r="IY14" s="1"/>
      <c r="IZ14" s="1"/>
      <c r="JA14" s="1"/>
      <c r="JB14" s="1"/>
      <c r="JC14" s="1"/>
      <c r="JD14" s="1"/>
      <c r="JE14" s="1"/>
      <c r="JF14" s="1"/>
      <c r="JG14" s="1"/>
      <c r="JH14" s="1"/>
      <c r="JI14" s="1"/>
      <c r="JJ14" s="1"/>
      <c r="JK14" s="1"/>
      <c r="JL14" s="1"/>
      <c r="JM14" s="1"/>
      <c r="JN14" s="1"/>
      <c r="JO14" s="1"/>
      <c r="JP14" s="1"/>
      <c r="JQ14" s="1"/>
      <c r="JR14" s="1"/>
      <c r="JS14" s="1"/>
      <c r="JT14" s="1"/>
      <c r="JU14" s="1"/>
      <c r="JV14" s="1"/>
      <c r="JW14" s="1"/>
      <c r="JX14" s="50"/>
      <c r="JY14" s="48"/>
      <c r="JZ14" s="48"/>
      <c r="KA14" s="48"/>
      <c r="KB14" s="48"/>
      <c r="KC14" s="48"/>
      <c r="KD14" s="48"/>
      <c r="KE14" s="48"/>
      <c r="KF14" s="48"/>
      <c r="KG14" s="48"/>
      <c r="KH14" s="48"/>
      <c r="KI14" s="48"/>
      <c r="KJ14" s="48"/>
      <c r="KK14" s="48"/>
      <c r="KL14" s="48"/>
      <c r="KM14" s="48"/>
      <c r="KN14" s="48"/>
      <c r="KO14" s="48"/>
      <c r="KP14" s="46"/>
      <c r="KQ14" s="46"/>
      <c r="KR14" s="46"/>
      <c r="KS14" s="46"/>
      <c r="KT14" s="47"/>
      <c r="KU14" s="50"/>
      <c r="KV14" s="48"/>
      <c r="KW14" s="48"/>
      <c r="KX14" s="48"/>
      <c r="KY14" s="48"/>
      <c r="KZ14" s="48"/>
      <c r="LA14" s="48"/>
      <c r="LB14" s="48"/>
      <c r="LC14" s="48"/>
      <c r="LD14" s="48"/>
      <c r="LE14" s="48"/>
      <c r="LF14" s="48"/>
      <c r="LG14" s="48"/>
      <c r="LH14" s="48"/>
      <c r="LI14" s="48"/>
      <c r="LJ14" s="48"/>
      <c r="LK14" s="48"/>
      <c r="LL14" s="48"/>
      <c r="LM14" s="46"/>
      <c r="LN14" s="46"/>
      <c r="LO14" s="46"/>
      <c r="LP14" s="46"/>
      <c r="LQ14" s="47"/>
      <c r="LR14" s="50"/>
      <c r="LS14" s="48"/>
      <c r="LT14" s="48"/>
      <c r="LU14" s="48"/>
      <c r="LV14" s="48"/>
      <c r="LW14" s="48"/>
      <c r="LX14" s="48"/>
      <c r="LY14" s="48"/>
      <c r="LZ14" s="48"/>
      <c r="MA14" s="48"/>
      <c r="MB14" s="48"/>
      <c r="MC14" s="48"/>
      <c r="MD14" s="48"/>
      <c r="ME14" s="48"/>
      <c r="MF14" s="48"/>
      <c r="MG14" s="48"/>
      <c r="MH14" s="48"/>
      <c r="MI14" s="48"/>
      <c r="MJ14" s="46"/>
      <c r="MK14" s="46"/>
      <c r="ML14" s="46"/>
      <c r="MM14" s="46"/>
      <c r="MN14" s="47"/>
      <c r="MO14" s="50"/>
      <c r="MP14" s="48"/>
      <c r="MQ14" s="48"/>
      <c r="MR14" s="48"/>
      <c r="MS14" s="48"/>
      <c r="MT14" s="48"/>
      <c r="MU14" s="48"/>
      <c r="MV14" s="48"/>
      <c r="MW14" s="48"/>
      <c r="MX14" s="48"/>
      <c r="MY14" s="48"/>
      <c r="MZ14" s="48"/>
      <c r="NA14" s="48"/>
      <c r="NB14" s="48"/>
      <c r="NC14" s="48"/>
      <c r="ND14" s="48"/>
      <c r="NE14" s="48"/>
      <c r="NF14" s="48"/>
      <c r="NG14" s="46"/>
      <c r="NH14" s="46"/>
      <c r="NI14" s="46"/>
      <c r="NJ14" s="46"/>
      <c r="NK14" s="47"/>
      <c r="NL14" s="50"/>
      <c r="NM14" s="48"/>
      <c r="NN14" s="48"/>
      <c r="NO14" s="48"/>
      <c r="NP14" s="48"/>
      <c r="NQ14" s="48"/>
      <c r="NR14" s="48"/>
      <c r="NS14" s="48"/>
      <c r="NT14" s="48"/>
      <c r="NU14" s="48"/>
      <c r="NV14" s="48"/>
      <c r="NW14" s="48"/>
      <c r="NX14" s="48"/>
      <c r="NY14" s="48"/>
      <c r="NZ14" s="48"/>
      <c r="OA14" s="48"/>
      <c r="OB14" s="48"/>
      <c r="OC14" s="48"/>
      <c r="OD14" s="46"/>
      <c r="OE14" s="46"/>
      <c r="OF14" s="46"/>
      <c r="OG14" s="46"/>
      <c r="OH14" s="47"/>
      <c r="OI14" s="50"/>
      <c r="OJ14" s="48"/>
      <c r="OK14" s="48"/>
      <c r="OL14" s="48"/>
      <c r="OM14" s="48"/>
      <c r="ON14" s="48"/>
      <c r="OO14" s="48"/>
      <c r="OP14" s="48"/>
      <c r="OQ14" s="48"/>
      <c r="OR14" s="48"/>
      <c r="OS14" s="48"/>
      <c r="OT14" s="48"/>
      <c r="OU14" s="48"/>
      <c r="OV14" s="48"/>
      <c r="OW14" s="48"/>
      <c r="OX14" s="48"/>
      <c r="OY14" s="48"/>
      <c r="OZ14" s="48"/>
      <c r="PA14" s="46"/>
      <c r="PB14" s="46"/>
      <c r="PC14" s="46"/>
      <c r="PD14" s="46"/>
      <c r="PE14" s="47"/>
      <c r="PF14" s="50"/>
      <c r="PG14" s="48"/>
      <c r="PH14" s="48"/>
      <c r="PI14" s="48"/>
      <c r="PJ14" s="48"/>
      <c r="PK14" s="48"/>
      <c r="PL14" s="48"/>
      <c r="PM14" s="48"/>
      <c r="PN14" s="48"/>
      <c r="PO14" s="48"/>
      <c r="PP14" s="48"/>
      <c r="PQ14" s="48"/>
      <c r="PR14" s="48"/>
      <c r="PS14" s="48"/>
      <c r="PT14" s="48"/>
      <c r="PU14" s="48"/>
      <c r="PV14" s="48"/>
      <c r="PW14" s="48"/>
      <c r="PX14" s="46"/>
      <c r="PY14" s="46"/>
      <c r="PZ14" s="46"/>
      <c r="QA14" s="46"/>
      <c r="QB14" s="47"/>
      <c r="QC14" s="50"/>
      <c r="QD14" s="48"/>
      <c r="QE14" s="48"/>
      <c r="QF14" s="48"/>
      <c r="QG14" s="48"/>
      <c r="QH14" s="48"/>
      <c r="QI14" s="48"/>
      <c r="QJ14" s="48"/>
      <c r="QK14" s="48"/>
      <c r="QL14" s="48"/>
      <c r="QM14" s="48"/>
      <c r="QN14" s="48"/>
      <c r="QO14" s="48"/>
      <c r="QP14" s="48"/>
      <c r="QQ14" s="48"/>
      <c r="QR14" s="48"/>
      <c r="QS14" s="48"/>
      <c r="QT14" s="48"/>
      <c r="QU14" s="46"/>
      <c r="QV14" s="46"/>
      <c r="QW14" s="46"/>
      <c r="QX14" s="46"/>
      <c r="QY14" s="47"/>
      <c r="QZ14" s="1"/>
      <c r="RA14" s="1"/>
      <c r="RB14" s="1"/>
      <c r="RC14" s="1"/>
      <c r="RD14" s="1"/>
      <c r="RE14" s="1"/>
      <c r="RF14" s="1"/>
      <c r="RG14" s="1"/>
      <c r="RH14" s="1"/>
      <c r="RI14" s="1"/>
      <c r="RJ14" s="1"/>
      <c r="RK14" s="1"/>
      <c r="RL14" s="1"/>
      <c r="RM14" s="1"/>
      <c r="RN14" s="1"/>
      <c r="RO14" s="1"/>
      <c r="RP14" s="1"/>
      <c r="RQ14" s="1"/>
      <c r="RR14" s="1"/>
      <c r="RS14" s="1"/>
      <c r="RT14" s="1"/>
      <c r="RU14" s="1"/>
      <c r="RV14" s="1"/>
      <c r="RW14" s="1"/>
      <c r="RX14" s="1"/>
      <c r="RY14" s="1"/>
      <c r="RZ14" s="1"/>
      <c r="SA14" s="1"/>
      <c r="SB14" s="1"/>
      <c r="SC14" s="1"/>
      <c r="SD14" s="1"/>
      <c r="SE14" s="1"/>
      <c r="SF14" s="1"/>
      <c r="SG14" s="1"/>
      <c r="SH14" s="1"/>
      <c r="SI14" s="1"/>
      <c r="SJ14" s="1"/>
      <c r="SK14" s="1"/>
      <c r="SL14" s="1"/>
      <c r="SM14" s="1"/>
      <c r="SN14" s="1"/>
      <c r="SO14" s="1"/>
      <c r="SP14" s="1"/>
      <c r="SQ14" s="1"/>
      <c r="SR14" s="1"/>
      <c r="SS14" s="1"/>
      <c r="ST14" s="1"/>
      <c r="SU14" s="1"/>
      <c r="SV14" s="1"/>
      <c r="SW14" s="1"/>
      <c r="SX14" s="1"/>
      <c r="SY14" s="1"/>
      <c r="SZ14" s="1"/>
      <c r="TA14" s="1"/>
      <c r="TB14" s="1"/>
      <c r="TC14" s="1"/>
      <c r="TD14" s="1"/>
      <c r="TE14" s="1"/>
      <c r="TF14" s="1"/>
      <c r="TG14" s="1"/>
      <c r="TH14" s="1"/>
      <c r="TI14" s="1"/>
      <c r="TJ14" s="1"/>
      <c r="TK14" s="1"/>
      <c r="TL14" s="1"/>
      <c r="TM14" s="1"/>
      <c r="TN14" s="1"/>
      <c r="TO14" s="1"/>
      <c r="TP14" s="1"/>
      <c r="TQ14" s="1"/>
      <c r="TR14" s="1"/>
      <c r="TS14" s="1"/>
    </row>
    <row r="15" spans="1:539" ht="40" customHeight="1" x14ac:dyDescent="0.2">
      <c r="A15" s="34" t="s">
        <v>30</v>
      </c>
      <c r="B15" s="7">
        <v>7</v>
      </c>
      <c r="C15" s="7">
        <f>C13</f>
        <v>2</v>
      </c>
      <c r="D15" s="34" t="s">
        <v>27</v>
      </c>
      <c r="F15" s="34"/>
      <c r="G15" s="34"/>
      <c r="H15" s="34"/>
      <c r="I15" s="34"/>
      <c r="J15" s="34"/>
      <c r="K15" s="34"/>
      <c r="L15" s="34"/>
      <c r="M15" s="34"/>
      <c r="N15" s="34"/>
      <c r="O15" s="34">
        <v>56</v>
      </c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 t="str">
        <f t="shared" si="9"/>
        <v>REG</v>
      </c>
    </row>
    <row r="16" spans="1:539" ht="40" customHeight="1" x14ac:dyDescent="0.2">
      <c r="A16" s="7" t="str">
        <f>D22</f>
        <v>LIGHTNING 1</v>
      </c>
      <c r="B16" s="7">
        <v>7</v>
      </c>
      <c r="C16" s="7">
        <v>3</v>
      </c>
      <c r="D16" s="7" t="str">
        <f>D9</f>
        <v>Lachlan Farley</v>
      </c>
      <c r="E16" s="19">
        <v>6</v>
      </c>
      <c r="F16" s="19">
        <v>13</v>
      </c>
      <c r="G16" s="19">
        <v>2</v>
      </c>
      <c r="H16" s="19">
        <v>5</v>
      </c>
      <c r="I16" s="19">
        <f>E16+G16</f>
        <v>8</v>
      </c>
      <c r="J16" s="19">
        <f>F16+H16</f>
        <v>18</v>
      </c>
      <c r="K16" s="19">
        <v>1</v>
      </c>
      <c r="L16" s="19">
        <v>3</v>
      </c>
      <c r="M16" s="19">
        <v>3</v>
      </c>
      <c r="N16" s="19">
        <v>11</v>
      </c>
      <c r="O16" s="19">
        <f>E16*2+G16*3+K16</f>
        <v>19</v>
      </c>
      <c r="P16" s="19">
        <f>M16+N16</f>
        <v>14</v>
      </c>
      <c r="Q16" s="19">
        <v>3</v>
      </c>
      <c r="R16" s="19">
        <v>0</v>
      </c>
      <c r="S16" s="19">
        <v>0</v>
      </c>
      <c r="T16" s="19">
        <v>3</v>
      </c>
      <c r="U16" s="19">
        <v>1</v>
      </c>
      <c r="V16" s="20">
        <f>IFERROR(I16/J16,0)</f>
        <v>0.44444444444444442</v>
      </c>
      <c r="W16" s="20">
        <f>IFERROR(K16/L16,0)</f>
        <v>0.33333333333333331</v>
      </c>
      <c r="X16" s="20">
        <f>IFERROR(E16/F16,0)</f>
        <v>0.46153846153846156</v>
      </c>
      <c r="Y16" s="20">
        <f>IFERROR(G16/H16,0)</f>
        <v>0.4</v>
      </c>
      <c r="Z16" s="21">
        <f>(O16)+(0.4*I16)-(0.7*J16)-(0.4*(L16-K16))+(0.7*M16)+(0.3*N16)+S16+(0.7*Q16)+(0.7*R16)-(0.4*U16)-T16</f>
        <v>12.899999999999997</v>
      </c>
      <c r="AA16" s="21" t="s">
        <v>33</v>
      </c>
      <c r="AG16" s="42"/>
      <c r="AH16" s="43"/>
      <c r="AI16" s="43"/>
      <c r="AJ16" s="43"/>
      <c r="AK16" s="43"/>
      <c r="AL16" s="43"/>
      <c r="AM16" s="43"/>
      <c r="AN16" s="43"/>
      <c r="AO16" s="44"/>
      <c r="AP16" s="45"/>
      <c r="AQ16" s="46"/>
      <c r="AR16" s="47"/>
      <c r="AS16" s="48"/>
      <c r="AT16" s="49"/>
    </row>
    <row r="17" spans="1:539" ht="40" customHeight="1" x14ac:dyDescent="0.2">
      <c r="A17" s="7" t="str">
        <f>A16</f>
        <v>LIGHTNING 1</v>
      </c>
      <c r="B17" s="7">
        <v>7</v>
      </c>
      <c r="C17" s="7">
        <f>C16</f>
        <v>3</v>
      </c>
      <c r="D17" s="7" t="str">
        <f>D10</f>
        <v>Josh Huxtable</v>
      </c>
      <c r="E17" s="22">
        <v>4</v>
      </c>
      <c r="F17" s="22">
        <v>10</v>
      </c>
      <c r="G17" s="22">
        <v>0</v>
      </c>
      <c r="H17" s="22">
        <v>1</v>
      </c>
      <c r="I17" s="22">
        <f t="shared" ref="I17:J20" si="41">E17+G17</f>
        <v>4</v>
      </c>
      <c r="J17" s="22">
        <f t="shared" si="41"/>
        <v>11</v>
      </c>
      <c r="K17" s="22">
        <v>0</v>
      </c>
      <c r="L17" s="22">
        <v>0</v>
      </c>
      <c r="M17" s="22">
        <v>3</v>
      </c>
      <c r="N17" s="22">
        <v>5</v>
      </c>
      <c r="O17" s="22">
        <f t="shared" ref="O17:O20" si="42">E17*2+G17*3+K17</f>
        <v>8</v>
      </c>
      <c r="P17" s="22">
        <f t="shared" ref="P17:P20" si="43">M17+N17</f>
        <v>8</v>
      </c>
      <c r="Q17" s="22">
        <v>3</v>
      </c>
      <c r="R17" s="22">
        <v>0</v>
      </c>
      <c r="S17" s="22">
        <v>2</v>
      </c>
      <c r="T17" s="22">
        <v>1</v>
      </c>
      <c r="U17" s="22">
        <v>0</v>
      </c>
      <c r="V17" s="23">
        <f t="shared" ref="V17:V21" si="44">IFERROR(I17/J17,0)</f>
        <v>0.36363636363636365</v>
      </c>
      <c r="W17" s="23">
        <f t="shared" ref="W17:W21" si="45">IFERROR(K17/L17,0)</f>
        <v>0</v>
      </c>
      <c r="X17" s="23">
        <f t="shared" ref="X17:X21" si="46">IFERROR(E17/F17,0)</f>
        <v>0.4</v>
      </c>
      <c r="Y17" s="23">
        <f t="shared" ref="Y17:Y21" si="47">IFERROR(G17/H17,0)</f>
        <v>0</v>
      </c>
      <c r="Z17" s="24">
        <f t="shared" ref="Z17:Z20" si="48">(O17)+(0.4*I17)-(0.7*J17)-(0.4*(L17-K17))+(0.7*M17)+(0.3*N17)+S17+(0.7*Q17)+(0.7*R17)-(0.4*U17)-T17</f>
        <v>8.6</v>
      </c>
      <c r="AA17" s="24" t="str">
        <f>AA16</f>
        <v>REG</v>
      </c>
      <c r="AG17" s="42"/>
      <c r="AH17" s="43"/>
      <c r="AI17" s="43"/>
      <c r="AJ17" s="43"/>
      <c r="AK17" s="43"/>
      <c r="AL17" s="43"/>
      <c r="AM17" s="43"/>
      <c r="AN17" s="43"/>
      <c r="AO17" s="44"/>
      <c r="AP17" s="45"/>
      <c r="AQ17" s="46"/>
      <c r="AR17" s="47"/>
      <c r="AS17" s="48"/>
      <c r="AT17" s="50"/>
      <c r="AU17" s="50"/>
      <c r="AV17" s="48"/>
    </row>
    <row r="18" spans="1:539" ht="40" customHeight="1" x14ac:dyDescent="0.2">
      <c r="A18" s="7" t="str">
        <f t="shared" ref="A18:A20" si="49">A17</f>
        <v>LIGHTNING 1</v>
      </c>
      <c r="B18" s="7">
        <v>7</v>
      </c>
      <c r="C18" s="7">
        <f t="shared" ref="C18:C20" si="50">C17</f>
        <v>3</v>
      </c>
      <c r="D18" s="7" t="str">
        <f>D11</f>
        <v>Darcy Bishop</v>
      </c>
      <c r="E18" s="25">
        <v>1</v>
      </c>
      <c r="F18" s="25">
        <v>3</v>
      </c>
      <c r="G18" s="25">
        <v>1</v>
      </c>
      <c r="H18" s="25">
        <v>3</v>
      </c>
      <c r="I18" s="25">
        <f t="shared" si="41"/>
        <v>2</v>
      </c>
      <c r="J18" s="25">
        <f t="shared" si="41"/>
        <v>6</v>
      </c>
      <c r="K18" s="25">
        <v>1</v>
      </c>
      <c r="L18" s="25">
        <v>3</v>
      </c>
      <c r="M18" s="25">
        <v>2</v>
      </c>
      <c r="N18" s="25">
        <v>1</v>
      </c>
      <c r="O18" s="25">
        <f t="shared" si="42"/>
        <v>6</v>
      </c>
      <c r="P18" s="25">
        <f t="shared" si="43"/>
        <v>3</v>
      </c>
      <c r="Q18" s="25">
        <v>7</v>
      </c>
      <c r="R18" s="25">
        <v>0</v>
      </c>
      <c r="S18" s="25">
        <v>0</v>
      </c>
      <c r="T18" s="25">
        <v>2</v>
      </c>
      <c r="U18" s="25">
        <v>2</v>
      </c>
      <c r="V18" s="26">
        <f t="shared" si="44"/>
        <v>0.33333333333333331</v>
      </c>
      <c r="W18" s="26">
        <f t="shared" si="45"/>
        <v>0.33333333333333331</v>
      </c>
      <c r="X18" s="26">
        <f t="shared" si="46"/>
        <v>0.33333333333333331</v>
      </c>
      <c r="Y18" s="26">
        <f t="shared" si="47"/>
        <v>0.33333333333333331</v>
      </c>
      <c r="Z18" s="27">
        <f t="shared" si="48"/>
        <v>5.5999999999999988</v>
      </c>
      <c r="AA18" s="27" t="str">
        <f t="shared" ref="AA18:AA22" si="51">AA17</f>
        <v>REG</v>
      </c>
      <c r="AG18" s="42"/>
      <c r="AH18" s="43"/>
      <c r="AI18" s="43"/>
      <c r="AJ18" s="43"/>
      <c r="AK18" s="43"/>
      <c r="AL18" s="43"/>
      <c r="AM18" s="43"/>
      <c r="AN18" s="43"/>
      <c r="AO18" s="44"/>
      <c r="AP18" s="45"/>
      <c r="AQ18" s="46"/>
      <c r="AR18" s="47"/>
      <c r="AS18" s="48"/>
      <c r="AT18" s="51"/>
      <c r="AU18" s="52"/>
      <c r="AW18" s="50"/>
    </row>
    <row r="19" spans="1:539" ht="40" customHeight="1" x14ac:dyDescent="0.2">
      <c r="A19" s="7" t="str">
        <f t="shared" si="49"/>
        <v>LIGHTNING 1</v>
      </c>
      <c r="B19" s="7">
        <v>7</v>
      </c>
      <c r="C19" s="7">
        <f t="shared" si="50"/>
        <v>3</v>
      </c>
      <c r="D19" s="7" t="str">
        <f>D12</f>
        <v>Harry Coller</v>
      </c>
      <c r="E19" s="28">
        <v>7</v>
      </c>
      <c r="F19" s="28">
        <v>12</v>
      </c>
      <c r="G19" s="28">
        <v>6</v>
      </c>
      <c r="H19" s="28">
        <v>12</v>
      </c>
      <c r="I19" s="28">
        <f t="shared" si="41"/>
        <v>13</v>
      </c>
      <c r="J19" s="28">
        <f t="shared" si="41"/>
        <v>24</v>
      </c>
      <c r="K19" s="28">
        <v>2</v>
      </c>
      <c r="L19" s="28">
        <v>2</v>
      </c>
      <c r="M19" s="28">
        <v>1</v>
      </c>
      <c r="N19" s="28">
        <v>2</v>
      </c>
      <c r="O19" s="28">
        <f t="shared" si="42"/>
        <v>34</v>
      </c>
      <c r="P19" s="28">
        <f t="shared" si="43"/>
        <v>3</v>
      </c>
      <c r="Q19" s="28">
        <v>6</v>
      </c>
      <c r="R19" s="28">
        <v>0</v>
      </c>
      <c r="S19" s="28">
        <v>0</v>
      </c>
      <c r="T19" s="28">
        <v>2</v>
      </c>
      <c r="U19" s="28">
        <v>1</v>
      </c>
      <c r="V19" s="29">
        <f t="shared" si="44"/>
        <v>0.54166666666666663</v>
      </c>
      <c r="W19" s="29">
        <f t="shared" si="45"/>
        <v>1</v>
      </c>
      <c r="X19" s="29">
        <f t="shared" si="46"/>
        <v>0.58333333333333337</v>
      </c>
      <c r="Y19" s="29">
        <f t="shared" si="47"/>
        <v>0.5</v>
      </c>
      <c r="Z19" s="30">
        <f t="shared" si="48"/>
        <v>25.500000000000007</v>
      </c>
      <c r="AA19" s="30" t="str">
        <f t="shared" si="51"/>
        <v>REG</v>
      </c>
      <c r="AG19" s="42"/>
      <c r="AH19" s="43"/>
      <c r="AI19" s="43"/>
      <c r="AJ19" s="43"/>
      <c r="AK19" s="43"/>
      <c r="AL19" s="43"/>
      <c r="AM19" s="43"/>
      <c r="AN19" s="43"/>
      <c r="AO19" s="44"/>
      <c r="AP19" s="45"/>
      <c r="AQ19" s="46"/>
      <c r="AR19" s="47"/>
      <c r="AS19" s="48"/>
      <c r="AT19" s="50"/>
      <c r="AU19" s="50"/>
      <c r="AV19" s="50"/>
      <c r="AW19" s="50"/>
      <c r="AX19" s="53"/>
      <c r="AY19" s="50"/>
      <c r="AZ19" s="50"/>
      <c r="BA19" s="50"/>
    </row>
    <row r="20" spans="1:539" ht="40" customHeight="1" x14ac:dyDescent="0.2">
      <c r="A20" s="7" t="str">
        <f t="shared" si="49"/>
        <v>LIGHTNING 1</v>
      </c>
      <c r="B20" s="7">
        <v>7</v>
      </c>
      <c r="C20" s="7">
        <f t="shared" si="50"/>
        <v>3</v>
      </c>
      <c r="D20" s="7" t="str">
        <f>D13</f>
        <v>Adam Blain</v>
      </c>
      <c r="E20" s="31">
        <v>1</v>
      </c>
      <c r="F20" s="31">
        <v>4</v>
      </c>
      <c r="G20" s="31">
        <v>1</v>
      </c>
      <c r="H20" s="31">
        <v>3</v>
      </c>
      <c r="I20" s="31">
        <f t="shared" si="41"/>
        <v>2</v>
      </c>
      <c r="J20" s="31">
        <f t="shared" si="41"/>
        <v>7</v>
      </c>
      <c r="K20" s="31">
        <v>1</v>
      </c>
      <c r="L20" s="31">
        <v>2</v>
      </c>
      <c r="M20" s="31">
        <v>2</v>
      </c>
      <c r="N20" s="31">
        <v>11</v>
      </c>
      <c r="O20" s="31">
        <f t="shared" si="42"/>
        <v>6</v>
      </c>
      <c r="P20" s="31">
        <f t="shared" si="43"/>
        <v>13</v>
      </c>
      <c r="Q20" s="31">
        <v>4</v>
      </c>
      <c r="R20" s="31">
        <v>2</v>
      </c>
      <c r="S20" s="31">
        <v>2</v>
      </c>
      <c r="T20" s="31">
        <v>3</v>
      </c>
      <c r="U20" s="31">
        <v>3</v>
      </c>
      <c r="V20" s="32">
        <f t="shared" si="44"/>
        <v>0.2857142857142857</v>
      </c>
      <c r="W20" s="32">
        <f t="shared" si="45"/>
        <v>0.5</v>
      </c>
      <c r="X20" s="32">
        <f t="shared" si="46"/>
        <v>0.25</v>
      </c>
      <c r="Y20" s="32">
        <f t="shared" si="47"/>
        <v>0.33333333333333331</v>
      </c>
      <c r="Z20" s="33">
        <f t="shared" si="48"/>
        <v>8.1999999999999993</v>
      </c>
      <c r="AA20" s="33" t="str">
        <f t="shared" si="51"/>
        <v>REG</v>
      </c>
      <c r="AG20" s="42"/>
      <c r="AH20" s="42"/>
      <c r="AI20" s="43"/>
      <c r="AJ20" s="54"/>
      <c r="AK20" s="54"/>
      <c r="AL20" s="54"/>
      <c r="AM20" s="54"/>
      <c r="AN20" s="54"/>
      <c r="AO20" s="55"/>
      <c r="AP20" s="56"/>
      <c r="AQ20" s="57"/>
      <c r="AR20" s="58"/>
      <c r="AS20" s="50"/>
      <c r="AT20" s="34"/>
      <c r="AU20" s="34"/>
      <c r="AV20" s="34"/>
      <c r="AW20" s="34"/>
      <c r="AX20" s="34"/>
      <c r="AY20" s="51"/>
      <c r="AZ20" s="51"/>
      <c r="BA20" s="51"/>
      <c r="FT20" s="59"/>
      <c r="FU20" s="59"/>
      <c r="FV20" s="59"/>
      <c r="FW20" s="60"/>
    </row>
    <row r="21" spans="1:539" s="67" customFormat="1" ht="40" customHeight="1" x14ac:dyDescent="0.2">
      <c r="A21" s="66" t="str">
        <f>A20</f>
        <v>LIGHTNING 1</v>
      </c>
      <c r="B21" s="7">
        <f>B20</f>
        <v>7</v>
      </c>
      <c r="C21" s="7">
        <f>C20</f>
        <v>3</v>
      </c>
      <c r="D21" s="66" t="s">
        <v>31</v>
      </c>
      <c r="E21" s="17">
        <f>SUM(E16:E20)</f>
        <v>19</v>
      </c>
      <c r="F21" s="17">
        <f t="shared" ref="F21" si="52">SUM(F16:F20)</f>
        <v>42</v>
      </c>
      <c r="G21" s="17">
        <f t="shared" ref="G21" si="53">SUM(G16:G20)</f>
        <v>10</v>
      </c>
      <c r="H21" s="17">
        <f t="shared" ref="H21" si="54">SUM(H16:H20)</f>
        <v>24</v>
      </c>
      <c r="I21" s="17">
        <f t="shared" ref="I21" si="55">SUM(I16:I20)</f>
        <v>29</v>
      </c>
      <c r="J21" s="17">
        <f t="shared" ref="J21" si="56">SUM(J16:J20)</f>
        <v>66</v>
      </c>
      <c r="K21" s="17">
        <f t="shared" ref="K21" si="57">SUM(K16:K20)</f>
        <v>5</v>
      </c>
      <c r="L21" s="17">
        <f t="shared" ref="L21" si="58">SUM(L16:L20)</f>
        <v>10</v>
      </c>
      <c r="M21" s="17">
        <f t="shared" ref="M21" si="59">SUM(M16:M20)</f>
        <v>11</v>
      </c>
      <c r="N21" s="17">
        <f t="shared" ref="N21" si="60">SUM(N16:N20)</f>
        <v>30</v>
      </c>
      <c r="O21" s="17">
        <f t="shared" ref="O21" si="61">SUM(O16:O20)</f>
        <v>73</v>
      </c>
      <c r="P21" s="17">
        <f t="shared" ref="P21" si="62">SUM(P16:P20)</f>
        <v>41</v>
      </c>
      <c r="Q21" s="17">
        <f t="shared" ref="Q21" si="63">SUM(Q16:Q20)</f>
        <v>23</v>
      </c>
      <c r="R21" s="17">
        <f t="shared" ref="R21" si="64">SUM(R16:R20)</f>
        <v>2</v>
      </c>
      <c r="S21" s="17">
        <f t="shared" ref="S21" si="65">SUM(S16:S20)</f>
        <v>4</v>
      </c>
      <c r="T21" s="17">
        <f t="shared" ref="T21" si="66">SUM(T16:T20)</f>
        <v>11</v>
      </c>
      <c r="U21" s="17">
        <f t="shared" ref="U21" si="67">SUM(U16:U20)</f>
        <v>7</v>
      </c>
      <c r="V21" s="68">
        <f t="shared" si="44"/>
        <v>0.43939393939393939</v>
      </c>
      <c r="W21" s="68">
        <f t="shared" si="45"/>
        <v>0.5</v>
      </c>
      <c r="X21" s="68">
        <f t="shared" si="46"/>
        <v>0.45238095238095238</v>
      </c>
      <c r="Y21" s="68">
        <f t="shared" si="47"/>
        <v>0.41666666666666669</v>
      </c>
      <c r="Z21" s="69">
        <f>AVERAGE(Z16:Z20)</f>
        <v>12.16</v>
      </c>
      <c r="AA21" s="69" t="str">
        <f t="shared" si="51"/>
        <v>REG</v>
      </c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O21" s="1"/>
      <c r="JP21" s="1"/>
      <c r="JQ21" s="1"/>
      <c r="JR21" s="1"/>
      <c r="JS21" s="1"/>
      <c r="JT21" s="1"/>
      <c r="JU21" s="1"/>
      <c r="JV21" s="1"/>
      <c r="JW21" s="1"/>
      <c r="JX21" s="50"/>
      <c r="JY21" s="48"/>
      <c r="JZ21" s="48"/>
      <c r="KA21" s="48"/>
      <c r="KB21" s="48"/>
      <c r="KC21" s="48"/>
      <c r="KD21" s="48"/>
      <c r="KE21" s="48"/>
      <c r="KF21" s="48"/>
      <c r="KG21" s="48"/>
      <c r="KH21" s="48"/>
      <c r="KI21" s="48"/>
      <c r="KJ21" s="48"/>
      <c r="KK21" s="48"/>
      <c r="KL21" s="48"/>
      <c r="KM21" s="48"/>
      <c r="KN21" s="48"/>
      <c r="KO21" s="48"/>
      <c r="KP21" s="46"/>
      <c r="KQ21" s="46"/>
      <c r="KR21" s="46"/>
      <c r="KS21" s="46"/>
      <c r="KT21" s="47"/>
      <c r="KU21" s="50"/>
      <c r="KV21" s="48"/>
      <c r="KW21" s="48"/>
      <c r="KX21" s="48"/>
      <c r="KY21" s="48"/>
      <c r="KZ21" s="48"/>
      <c r="LA21" s="48"/>
      <c r="LB21" s="48"/>
      <c r="LC21" s="48"/>
      <c r="LD21" s="48"/>
      <c r="LE21" s="48"/>
      <c r="LF21" s="48"/>
      <c r="LG21" s="48"/>
      <c r="LH21" s="48"/>
      <c r="LI21" s="48"/>
      <c r="LJ21" s="48"/>
      <c r="LK21" s="48"/>
      <c r="LL21" s="48"/>
      <c r="LM21" s="46"/>
      <c r="LN21" s="46"/>
      <c r="LO21" s="46"/>
      <c r="LP21" s="46"/>
      <c r="LQ21" s="47"/>
      <c r="LR21" s="50"/>
      <c r="LS21" s="48"/>
      <c r="LT21" s="48"/>
      <c r="LU21" s="48"/>
      <c r="LV21" s="48"/>
      <c r="LW21" s="48"/>
      <c r="LX21" s="48"/>
      <c r="LY21" s="48"/>
      <c r="LZ21" s="48"/>
      <c r="MA21" s="48"/>
      <c r="MB21" s="48"/>
      <c r="MC21" s="48"/>
      <c r="MD21" s="48"/>
      <c r="ME21" s="48"/>
      <c r="MF21" s="48"/>
      <c r="MG21" s="48"/>
      <c r="MH21" s="48"/>
      <c r="MI21" s="48"/>
      <c r="MJ21" s="46"/>
      <c r="MK21" s="46"/>
      <c r="ML21" s="46"/>
      <c r="MM21" s="46"/>
      <c r="MN21" s="47"/>
      <c r="MO21" s="50"/>
      <c r="MP21" s="48"/>
      <c r="MQ21" s="48"/>
      <c r="MR21" s="48"/>
      <c r="MS21" s="48"/>
      <c r="MT21" s="48"/>
      <c r="MU21" s="48"/>
      <c r="MV21" s="48"/>
      <c r="MW21" s="48"/>
      <c r="MX21" s="48"/>
      <c r="MY21" s="48"/>
      <c r="MZ21" s="48"/>
      <c r="NA21" s="48"/>
      <c r="NB21" s="48"/>
      <c r="NC21" s="48"/>
      <c r="ND21" s="48"/>
      <c r="NE21" s="48"/>
      <c r="NF21" s="48"/>
      <c r="NG21" s="46"/>
      <c r="NH21" s="46"/>
      <c r="NI21" s="46"/>
      <c r="NJ21" s="46"/>
      <c r="NK21" s="47"/>
      <c r="NL21" s="50"/>
      <c r="NM21" s="48"/>
      <c r="NN21" s="48"/>
      <c r="NO21" s="48"/>
      <c r="NP21" s="48"/>
      <c r="NQ21" s="48"/>
      <c r="NR21" s="48"/>
      <c r="NS21" s="48"/>
      <c r="NT21" s="48"/>
      <c r="NU21" s="48"/>
      <c r="NV21" s="48"/>
      <c r="NW21" s="48"/>
      <c r="NX21" s="48"/>
      <c r="NY21" s="48"/>
      <c r="NZ21" s="48"/>
      <c r="OA21" s="48"/>
      <c r="OB21" s="48"/>
      <c r="OC21" s="48"/>
      <c r="OD21" s="46"/>
      <c r="OE21" s="46"/>
      <c r="OF21" s="46"/>
      <c r="OG21" s="46"/>
      <c r="OH21" s="47"/>
      <c r="OI21" s="50"/>
      <c r="OJ21" s="48"/>
      <c r="OK21" s="48"/>
      <c r="OL21" s="48"/>
      <c r="OM21" s="48"/>
      <c r="ON21" s="48"/>
      <c r="OO21" s="48"/>
      <c r="OP21" s="48"/>
      <c r="OQ21" s="48"/>
      <c r="OR21" s="48"/>
      <c r="OS21" s="48"/>
      <c r="OT21" s="48"/>
      <c r="OU21" s="48"/>
      <c r="OV21" s="48"/>
      <c r="OW21" s="48"/>
      <c r="OX21" s="48"/>
      <c r="OY21" s="48"/>
      <c r="OZ21" s="48"/>
      <c r="PA21" s="46"/>
      <c r="PB21" s="46"/>
      <c r="PC21" s="46"/>
      <c r="PD21" s="46"/>
      <c r="PE21" s="47"/>
      <c r="PF21" s="50"/>
      <c r="PG21" s="48"/>
      <c r="PH21" s="48"/>
      <c r="PI21" s="48"/>
      <c r="PJ21" s="48"/>
      <c r="PK21" s="48"/>
      <c r="PL21" s="48"/>
      <c r="PM21" s="48"/>
      <c r="PN21" s="48"/>
      <c r="PO21" s="48"/>
      <c r="PP21" s="48"/>
      <c r="PQ21" s="48"/>
      <c r="PR21" s="48"/>
      <c r="PS21" s="48"/>
      <c r="PT21" s="48"/>
      <c r="PU21" s="48"/>
      <c r="PV21" s="48"/>
      <c r="PW21" s="48"/>
      <c r="PX21" s="46"/>
      <c r="PY21" s="46"/>
      <c r="PZ21" s="46"/>
      <c r="QA21" s="46"/>
      <c r="QB21" s="47"/>
      <c r="QC21" s="50"/>
      <c r="QD21" s="48"/>
      <c r="QE21" s="48"/>
      <c r="QF21" s="48"/>
      <c r="QG21" s="48"/>
      <c r="QH21" s="48"/>
      <c r="QI21" s="48"/>
      <c r="QJ21" s="48"/>
      <c r="QK21" s="48"/>
      <c r="QL21" s="48"/>
      <c r="QM21" s="48"/>
      <c r="QN21" s="48"/>
      <c r="QO21" s="48"/>
      <c r="QP21" s="48"/>
      <c r="QQ21" s="48"/>
      <c r="QR21" s="48"/>
      <c r="QS21" s="48"/>
      <c r="QT21" s="48"/>
      <c r="QU21" s="46"/>
      <c r="QV21" s="46"/>
      <c r="QW21" s="46"/>
      <c r="QX21" s="46"/>
      <c r="QY21" s="47"/>
      <c r="QZ21" s="1"/>
      <c r="RA21" s="1"/>
      <c r="RB21" s="1"/>
      <c r="RC21" s="1"/>
      <c r="RD21" s="1"/>
      <c r="RE21" s="1"/>
      <c r="RF21" s="1"/>
      <c r="RG21" s="1"/>
      <c r="RH21" s="1"/>
      <c r="RI21" s="1"/>
      <c r="RJ21" s="1"/>
      <c r="RK21" s="1"/>
      <c r="RL21" s="1"/>
      <c r="RM21" s="1"/>
      <c r="RN21" s="1"/>
      <c r="RO21" s="1"/>
      <c r="RP21" s="1"/>
      <c r="RQ21" s="1"/>
      <c r="RR21" s="1"/>
      <c r="RS21" s="1"/>
      <c r="RT21" s="1"/>
      <c r="RU21" s="1"/>
      <c r="RV21" s="1"/>
      <c r="RW21" s="1"/>
      <c r="RX21" s="1"/>
      <c r="RY21" s="1"/>
      <c r="RZ21" s="1"/>
      <c r="SA21" s="1"/>
      <c r="SB21" s="1"/>
      <c r="SC21" s="1"/>
      <c r="SD21" s="1"/>
      <c r="SE21" s="1"/>
      <c r="SF21" s="1"/>
      <c r="SG21" s="1"/>
      <c r="SH21" s="1"/>
      <c r="SI21" s="1"/>
      <c r="SJ21" s="1"/>
      <c r="SK21" s="1"/>
      <c r="SL21" s="1"/>
      <c r="SM21" s="1"/>
      <c r="SN21" s="1"/>
      <c r="SO21" s="1"/>
      <c r="SP21" s="1"/>
      <c r="SQ21" s="1"/>
      <c r="SR21" s="1"/>
      <c r="SS21" s="1"/>
      <c r="ST21" s="1"/>
      <c r="SU21" s="1"/>
      <c r="SV21" s="1"/>
      <c r="SW21" s="1"/>
      <c r="SX21" s="1"/>
      <c r="SY21" s="1"/>
      <c r="SZ21" s="1"/>
      <c r="TA21" s="1"/>
      <c r="TB21" s="1"/>
      <c r="TC21" s="1"/>
      <c r="TD21" s="1"/>
      <c r="TE21" s="1"/>
      <c r="TF21" s="1"/>
      <c r="TG21" s="1"/>
      <c r="TH21" s="1"/>
      <c r="TI21" s="1"/>
      <c r="TJ21" s="1"/>
      <c r="TK21" s="1"/>
      <c r="TL21" s="1"/>
      <c r="TM21" s="1"/>
      <c r="TN21" s="1"/>
      <c r="TO21" s="1"/>
      <c r="TP21" s="1"/>
      <c r="TQ21" s="1"/>
      <c r="TR21" s="1"/>
      <c r="TS21" s="1"/>
    </row>
    <row r="22" spans="1:539" ht="40" customHeight="1" x14ac:dyDescent="0.2">
      <c r="A22" s="34" t="s">
        <v>30</v>
      </c>
      <c r="B22" s="7">
        <v>7</v>
      </c>
      <c r="C22" s="7">
        <f>C20</f>
        <v>3</v>
      </c>
      <c r="D22" s="34" t="s">
        <v>28</v>
      </c>
      <c r="F22" s="34"/>
      <c r="G22" s="34"/>
      <c r="H22" s="34"/>
      <c r="I22" s="34"/>
      <c r="J22" s="34"/>
      <c r="K22" s="34"/>
      <c r="L22" s="34"/>
      <c r="M22" s="34"/>
      <c r="N22" s="34"/>
      <c r="O22" s="34">
        <v>67</v>
      </c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 t="str">
        <f t="shared" si="51"/>
        <v>REG</v>
      </c>
      <c r="FT22" s="59"/>
      <c r="FU22" s="59"/>
      <c r="FV22" s="59"/>
      <c r="FW22" s="60"/>
    </row>
    <row r="23" spans="1:539" ht="40" customHeight="1" x14ac:dyDescent="0.2">
      <c r="A23" s="7" t="str">
        <f>D29</f>
        <v>SAINTS</v>
      </c>
      <c r="B23" s="7">
        <v>7</v>
      </c>
      <c r="C23" s="7">
        <f>C16+1</f>
        <v>4</v>
      </c>
      <c r="D23" s="7" t="str">
        <f>D16</f>
        <v>Lachlan Farley</v>
      </c>
      <c r="E23" s="19">
        <v>10</v>
      </c>
      <c r="F23" s="19">
        <v>14</v>
      </c>
      <c r="G23" s="19">
        <v>1</v>
      </c>
      <c r="H23" s="19">
        <v>4</v>
      </c>
      <c r="I23" s="19">
        <f>E23+G23</f>
        <v>11</v>
      </c>
      <c r="J23" s="19">
        <f>F23+H23</f>
        <v>18</v>
      </c>
      <c r="K23" s="19">
        <v>0</v>
      </c>
      <c r="L23" s="19">
        <v>1</v>
      </c>
      <c r="M23" s="19">
        <v>4</v>
      </c>
      <c r="N23" s="19">
        <v>8</v>
      </c>
      <c r="O23" s="19">
        <f>E23*2+G23*3+K23</f>
        <v>23</v>
      </c>
      <c r="P23" s="19">
        <f>M23+N23</f>
        <v>12</v>
      </c>
      <c r="Q23" s="19">
        <v>13</v>
      </c>
      <c r="R23" s="19">
        <v>1</v>
      </c>
      <c r="S23" s="19">
        <v>1</v>
      </c>
      <c r="T23" s="19">
        <v>4</v>
      </c>
      <c r="U23" s="19">
        <v>1</v>
      </c>
      <c r="V23" s="20">
        <f>IFERROR(I23/J23,0)</f>
        <v>0.61111111111111116</v>
      </c>
      <c r="W23" s="20">
        <f>IFERROR(K23/L23,0)</f>
        <v>0</v>
      </c>
      <c r="X23" s="20">
        <f>IFERROR(E23/F23,0)</f>
        <v>0.7142857142857143</v>
      </c>
      <c r="Y23" s="20">
        <f>IFERROR(G23/H23,0)</f>
        <v>0.25</v>
      </c>
      <c r="Z23" s="21">
        <f>(O23)+(0.4*I23)-(0.7*J23)-(0.4*(L23-K23))+(0.7*M23)+(0.3*N23)+S23+(0.7*Q23)+(0.7*R23)-(0.4*U23)-T23</f>
        <v>25.999999999999996</v>
      </c>
      <c r="AA23" s="21" t="s">
        <v>33</v>
      </c>
      <c r="AB23" s="50"/>
      <c r="FT23" s="59"/>
      <c r="FU23" s="59"/>
      <c r="FV23" s="59"/>
      <c r="FW23" s="60"/>
    </row>
    <row r="24" spans="1:539" ht="40" customHeight="1" x14ac:dyDescent="0.2">
      <c r="A24" s="7" t="str">
        <f>A23</f>
        <v>SAINTS</v>
      </c>
      <c r="B24" s="7">
        <v>7</v>
      </c>
      <c r="C24" s="7">
        <f>C23</f>
        <v>4</v>
      </c>
      <c r="D24" s="7" t="str">
        <f>D17</f>
        <v>Josh Huxtable</v>
      </c>
      <c r="E24" s="22">
        <v>6</v>
      </c>
      <c r="F24" s="22">
        <v>9</v>
      </c>
      <c r="G24" s="22">
        <v>0</v>
      </c>
      <c r="H24" s="22">
        <v>2</v>
      </c>
      <c r="I24" s="22">
        <f t="shared" ref="I24:J27" si="68">E24+G24</f>
        <v>6</v>
      </c>
      <c r="J24" s="22">
        <f t="shared" si="68"/>
        <v>11</v>
      </c>
      <c r="K24" s="22">
        <v>2</v>
      </c>
      <c r="L24" s="22">
        <v>2</v>
      </c>
      <c r="M24" s="22">
        <v>5</v>
      </c>
      <c r="N24" s="22">
        <v>2</v>
      </c>
      <c r="O24" s="22">
        <f t="shared" ref="O24:O27" si="69">E24*2+G24*3+K24</f>
        <v>14</v>
      </c>
      <c r="P24" s="22">
        <f t="shared" ref="P24:P27" si="70">M24+N24</f>
        <v>7</v>
      </c>
      <c r="Q24" s="22">
        <v>4</v>
      </c>
      <c r="R24" s="22">
        <v>0</v>
      </c>
      <c r="S24" s="22">
        <v>1</v>
      </c>
      <c r="T24" s="22">
        <v>1</v>
      </c>
      <c r="U24" s="22">
        <v>1</v>
      </c>
      <c r="V24" s="23">
        <f t="shared" ref="V24:V28" si="71">IFERROR(I24/J24,0)</f>
        <v>0.54545454545454541</v>
      </c>
      <c r="W24" s="23">
        <f t="shared" ref="W24:W28" si="72">IFERROR(K24/L24,0)</f>
        <v>1</v>
      </c>
      <c r="X24" s="23">
        <f t="shared" ref="X24:X28" si="73">IFERROR(E24/F24,0)</f>
        <v>0.66666666666666663</v>
      </c>
      <c r="Y24" s="23">
        <f t="shared" ref="Y24:Y28" si="74">IFERROR(G24/H24,0)</f>
        <v>0</v>
      </c>
      <c r="Z24" s="24">
        <f t="shared" ref="Z24:Z27" si="75">(O24)+(0.4*I24)-(0.7*J24)-(0.4*(L24-K24))+(0.7*M24)+(0.3*N24)+S24+(0.7*Q24)+(0.7*R24)-(0.4*U24)-T24</f>
        <v>15.2</v>
      </c>
      <c r="AA24" s="24" t="str">
        <f>AA23</f>
        <v>REG</v>
      </c>
      <c r="AB24" s="47"/>
      <c r="AG24" s="52"/>
      <c r="FT24" s="59"/>
      <c r="FU24" s="59"/>
      <c r="FV24" s="59"/>
      <c r="FW24" s="60"/>
    </row>
    <row r="25" spans="1:539" ht="40" customHeight="1" x14ac:dyDescent="0.2">
      <c r="A25" s="7" t="str">
        <f t="shared" ref="A25:A27" si="76">A24</f>
        <v>SAINTS</v>
      </c>
      <c r="B25" s="7">
        <v>7</v>
      </c>
      <c r="C25" s="7">
        <f t="shared" ref="C25:C27" si="77">C24</f>
        <v>4</v>
      </c>
      <c r="D25" s="7" t="str">
        <f>D18</f>
        <v>Darcy Bishop</v>
      </c>
      <c r="E25" s="25">
        <v>3</v>
      </c>
      <c r="F25" s="25">
        <v>7</v>
      </c>
      <c r="G25" s="25">
        <v>1</v>
      </c>
      <c r="H25" s="25">
        <v>4</v>
      </c>
      <c r="I25" s="25">
        <f t="shared" si="68"/>
        <v>4</v>
      </c>
      <c r="J25" s="25">
        <f t="shared" si="68"/>
        <v>11</v>
      </c>
      <c r="K25" s="25">
        <v>0</v>
      </c>
      <c r="L25" s="25">
        <v>0</v>
      </c>
      <c r="M25" s="25">
        <v>0</v>
      </c>
      <c r="N25" s="25">
        <v>2</v>
      </c>
      <c r="O25" s="25">
        <f t="shared" si="69"/>
        <v>9</v>
      </c>
      <c r="P25" s="25">
        <f t="shared" si="70"/>
        <v>2</v>
      </c>
      <c r="Q25" s="25">
        <v>7</v>
      </c>
      <c r="R25" s="25">
        <v>0</v>
      </c>
      <c r="S25" s="25">
        <v>1</v>
      </c>
      <c r="T25" s="25">
        <v>0</v>
      </c>
      <c r="U25" s="25">
        <v>0</v>
      </c>
      <c r="V25" s="26">
        <f t="shared" si="71"/>
        <v>0.36363636363636365</v>
      </c>
      <c r="W25" s="26">
        <f t="shared" si="72"/>
        <v>0</v>
      </c>
      <c r="X25" s="26">
        <f t="shared" si="73"/>
        <v>0.42857142857142855</v>
      </c>
      <c r="Y25" s="26">
        <f t="shared" si="74"/>
        <v>0.25</v>
      </c>
      <c r="Z25" s="27">
        <f t="shared" si="75"/>
        <v>9.3999999999999986</v>
      </c>
      <c r="AA25" s="27" t="str">
        <f t="shared" ref="AA25:AA36" si="78">AA24</f>
        <v>REG</v>
      </c>
      <c r="AB25" s="47"/>
      <c r="AG25" s="42"/>
      <c r="AH25" s="42"/>
      <c r="AI25" s="42"/>
      <c r="AJ25" s="42"/>
      <c r="AK25" s="42"/>
      <c r="AL25" s="42"/>
      <c r="AM25" s="42"/>
      <c r="AN25" s="42"/>
      <c r="AO25" s="42"/>
      <c r="AP25" s="61"/>
      <c r="AQ25" s="50"/>
      <c r="AR25" s="50"/>
      <c r="AS25" s="50"/>
      <c r="AT25" s="50"/>
      <c r="AU25" s="50"/>
      <c r="AV25" s="50"/>
      <c r="AW25" s="50"/>
      <c r="AX25" s="50"/>
      <c r="AY25" s="50"/>
      <c r="AZ25" s="50"/>
      <c r="BA25" s="50"/>
      <c r="BB25" s="50"/>
      <c r="FT25" s="59"/>
      <c r="FU25" s="59"/>
      <c r="FV25" s="59"/>
      <c r="FW25" s="60"/>
    </row>
    <row r="26" spans="1:539" ht="40" customHeight="1" x14ac:dyDescent="0.2">
      <c r="A26" s="7" t="str">
        <f t="shared" si="76"/>
        <v>SAINTS</v>
      </c>
      <c r="B26" s="7">
        <v>7</v>
      </c>
      <c r="C26" s="7">
        <f t="shared" si="77"/>
        <v>4</v>
      </c>
      <c r="D26" s="7" t="str">
        <f>D19</f>
        <v>Harry Coller</v>
      </c>
      <c r="E26" s="28">
        <v>9</v>
      </c>
      <c r="F26" s="28">
        <v>13</v>
      </c>
      <c r="G26" s="28">
        <v>10</v>
      </c>
      <c r="H26" s="28">
        <v>17</v>
      </c>
      <c r="I26" s="28">
        <f t="shared" si="68"/>
        <v>19</v>
      </c>
      <c r="J26" s="28">
        <f t="shared" si="68"/>
        <v>30</v>
      </c>
      <c r="K26" s="28">
        <v>2</v>
      </c>
      <c r="L26" s="28">
        <v>2</v>
      </c>
      <c r="M26" s="28">
        <v>2</v>
      </c>
      <c r="N26" s="28">
        <v>5</v>
      </c>
      <c r="O26" s="28">
        <f t="shared" si="69"/>
        <v>50</v>
      </c>
      <c r="P26" s="28">
        <f t="shared" si="70"/>
        <v>7</v>
      </c>
      <c r="Q26" s="28">
        <v>6</v>
      </c>
      <c r="R26" s="28">
        <v>0</v>
      </c>
      <c r="S26" s="28">
        <v>3</v>
      </c>
      <c r="T26" s="28">
        <v>0</v>
      </c>
      <c r="U26" s="28">
        <v>0</v>
      </c>
      <c r="V26" s="29">
        <f t="shared" si="71"/>
        <v>0.6333333333333333</v>
      </c>
      <c r="W26" s="29">
        <f t="shared" si="72"/>
        <v>1</v>
      </c>
      <c r="X26" s="29">
        <f t="shared" si="73"/>
        <v>0.69230769230769229</v>
      </c>
      <c r="Y26" s="29">
        <f t="shared" si="74"/>
        <v>0.58823529411764708</v>
      </c>
      <c r="Z26" s="30">
        <f t="shared" si="75"/>
        <v>46.7</v>
      </c>
      <c r="AA26" s="30" t="str">
        <f t="shared" si="78"/>
        <v>REG</v>
      </c>
      <c r="AB26" s="47"/>
      <c r="AG26" s="42"/>
      <c r="AH26" s="41"/>
      <c r="AI26" s="41"/>
      <c r="AJ26" s="41"/>
      <c r="AK26" s="41"/>
      <c r="AL26" s="41"/>
      <c r="AM26" s="41"/>
      <c r="AN26" s="41"/>
      <c r="AO26" s="41"/>
      <c r="AP26" s="41"/>
      <c r="AQ26" s="62"/>
      <c r="AR26" s="62"/>
      <c r="AS26" s="62"/>
      <c r="AT26" s="62"/>
      <c r="AU26" s="62"/>
      <c r="AV26" s="62"/>
      <c r="AW26" s="62"/>
      <c r="AX26" s="62"/>
      <c r="AY26" s="63"/>
      <c r="AZ26" s="63"/>
      <c r="BA26" s="63"/>
      <c r="BB26" s="63"/>
      <c r="FT26" s="59"/>
      <c r="FU26" s="59"/>
      <c r="FV26" s="59"/>
      <c r="FW26" s="60"/>
    </row>
    <row r="27" spans="1:539" ht="39.75" customHeight="1" x14ac:dyDescent="0.2">
      <c r="A27" s="7" t="str">
        <f t="shared" si="76"/>
        <v>SAINTS</v>
      </c>
      <c r="B27" s="7">
        <v>7</v>
      </c>
      <c r="C27" s="7">
        <f t="shared" si="77"/>
        <v>4</v>
      </c>
      <c r="D27" s="7" t="str">
        <f>D20</f>
        <v>Adam Blain</v>
      </c>
      <c r="E27" s="31">
        <v>1</v>
      </c>
      <c r="F27" s="31">
        <v>4</v>
      </c>
      <c r="G27" s="31">
        <v>2</v>
      </c>
      <c r="H27" s="31">
        <v>4</v>
      </c>
      <c r="I27" s="31">
        <f t="shared" si="68"/>
        <v>3</v>
      </c>
      <c r="J27" s="31">
        <f t="shared" si="68"/>
        <v>8</v>
      </c>
      <c r="K27" s="31">
        <v>0</v>
      </c>
      <c r="L27" s="31">
        <v>0</v>
      </c>
      <c r="M27" s="31">
        <v>1</v>
      </c>
      <c r="N27" s="31">
        <v>19</v>
      </c>
      <c r="O27" s="31">
        <f t="shared" si="69"/>
        <v>8</v>
      </c>
      <c r="P27" s="31">
        <f t="shared" si="70"/>
        <v>20</v>
      </c>
      <c r="Q27" s="31">
        <v>1</v>
      </c>
      <c r="R27" s="31">
        <v>7</v>
      </c>
      <c r="S27" s="31">
        <v>1</v>
      </c>
      <c r="T27" s="31">
        <v>3</v>
      </c>
      <c r="U27" s="31">
        <v>2</v>
      </c>
      <c r="V27" s="32">
        <f t="shared" si="71"/>
        <v>0.375</v>
      </c>
      <c r="W27" s="32">
        <f t="shared" si="72"/>
        <v>0</v>
      </c>
      <c r="X27" s="32">
        <f t="shared" si="73"/>
        <v>0.25</v>
      </c>
      <c r="Y27" s="32">
        <f t="shared" si="74"/>
        <v>0.5</v>
      </c>
      <c r="Z27" s="33">
        <f t="shared" si="75"/>
        <v>12.799999999999997</v>
      </c>
      <c r="AA27" s="33" t="str">
        <f t="shared" si="78"/>
        <v>REG</v>
      </c>
      <c r="AB27" s="47"/>
      <c r="AG27" s="42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1"/>
      <c r="AT27" s="41"/>
      <c r="AU27" s="41"/>
      <c r="AV27" s="41"/>
      <c r="AW27" s="41"/>
      <c r="AX27" s="41"/>
      <c r="AY27" s="44"/>
      <c r="AZ27" s="44"/>
      <c r="BA27" s="44"/>
      <c r="BB27" s="44"/>
      <c r="FT27" s="59"/>
      <c r="FU27" s="59"/>
      <c r="FV27" s="59"/>
      <c r="FW27" s="60"/>
    </row>
    <row r="28" spans="1:539" s="67" customFormat="1" ht="40" customHeight="1" x14ac:dyDescent="0.2">
      <c r="A28" s="66" t="str">
        <f>A27</f>
        <v>SAINTS</v>
      </c>
      <c r="B28" s="7">
        <f>B27</f>
        <v>7</v>
      </c>
      <c r="C28" s="7">
        <f>C27</f>
        <v>4</v>
      </c>
      <c r="D28" s="66" t="s">
        <v>31</v>
      </c>
      <c r="E28" s="17">
        <f>SUM(E23:E27)</f>
        <v>29</v>
      </c>
      <c r="F28" s="17">
        <f t="shared" ref="F28" si="79">SUM(F23:F27)</f>
        <v>47</v>
      </c>
      <c r="G28" s="17">
        <f t="shared" ref="G28" si="80">SUM(G23:G27)</f>
        <v>14</v>
      </c>
      <c r="H28" s="17">
        <f t="shared" ref="H28" si="81">SUM(H23:H27)</f>
        <v>31</v>
      </c>
      <c r="I28" s="17">
        <f t="shared" ref="I28" si="82">SUM(I23:I27)</f>
        <v>43</v>
      </c>
      <c r="J28" s="17">
        <f t="shared" ref="J28" si="83">SUM(J23:J27)</f>
        <v>78</v>
      </c>
      <c r="K28" s="17">
        <f t="shared" ref="K28" si="84">SUM(K23:K27)</f>
        <v>4</v>
      </c>
      <c r="L28" s="17">
        <f t="shared" ref="L28" si="85">SUM(L23:L27)</f>
        <v>5</v>
      </c>
      <c r="M28" s="17">
        <f t="shared" ref="M28" si="86">SUM(M23:M27)</f>
        <v>12</v>
      </c>
      <c r="N28" s="17">
        <f t="shared" ref="N28" si="87">SUM(N23:N27)</f>
        <v>36</v>
      </c>
      <c r="O28" s="17">
        <f t="shared" ref="O28" si="88">SUM(O23:O27)</f>
        <v>104</v>
      </c>
      <c r="P28" s="17">
        <f t="shared" ref="P28" si="89">SUM(P23:P27)</f>
        <v>48</v>
      </c>
      <c r="Q28" s="17">
        <f t="shared" ref="Q28" si="90">SUM(Q23:Q27)</f>
        <v>31</v>
      </c>
      <c r="R28" s="17">
        <f t="shared" ref="R28" si="91">SUM(R23:R27)</f>
        <v>8</v>
      </c>
      <c r="S28" s="17">
        <f t="shared" ref="S28" si="92">SUM(S23:S27)</f>
        <v>7</v>
      </c>
      <c r="T28" s="17">
        <f t="shared" ref="T28" si="93">SUM(T23:T27)</f>
        <v>8</v>
      </c>
      <c r="U28" s="17">
        <f t="shared" ref="U28" si="94">SUM(U23:U27)</f>
        <v>4</v>
      </c>
      <c r="V28" s="68">
        <f t="shared" si="71"/>
        <v>0.55128205128205132</v>
      </c>
      <c r="W28" s="68">
        <f t="shared" si="72"/>
        <v>0.8</v>
      </c>
      <c r="X28" s="68">
        <f t="shared" si="73"/>
        <v>0.61702127659574468</v>
      </c>
      <c r="Y28" s="68">
        <f t="shared" si="74"/>
        <v>0.45161290322580644</v>
      </c>
      <c r="Z28" s="69">
        <f>AVERAGE(Z23:Z27)</f>
        <v>22.02</v>
      </c>
      <c r="AA28" s="69" t="str">
        <f t="shared" si="78"/>
        <v>REG</v>
      </c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  <c r="IW28" s="1"/>
      <c r="IX28" s="1"/>
      <c r="IY28" s="1"/>
      <c r="IZ28" s="1"/>
      <c r="JA28" s="1"/>
      <c r="JB28" s="1"/>
      <c r="JC28" s="1"/>
      <c r="JD28" s="1"/>
      <c r="JE28" s="1"/>
      <c r="JF28" s="1"/>
      <c r="JG28" s="1"/>
      <c r="JH28" s="1"/>
      <c r="JI28" s="1"/>
      <c r="JJ28" s="1"/>
      <c r="JK28" s="1"/>
      <c r="JL28" s="1"/>
      <c r="JM28" s="1"/>
      <c r="JN28" s="1"/>
      <c r="JO28" s="1"/>
      <c r="JP28" s="1"/>
      <c r="JQ28" s="1"/>
      <c r="JR28" s="1"/>
      <c r="JS28" s="1"/>
      <c r="JT28" s="1"/>
      <c r="JU28" s="1"/>
      <c r="JV28" s="1"/>
      <c r="JW28" s="1"/>
      <c r="JX28" s="50"/>
      <c r="JY28" s="48"/>
      <c r="JZ28" s="48"/>
      <c r="KA28" s="48"/>
      <c r="KB28" s="48"/>
      <c r="KC28" s="48"/>
      <c r="KD28" s="48"/>
      <c r="KE28" s="48"/>
      <c r="KF28" s="48"/>
      <c r="KG28" s="48"/>
      <c r="KH28" s="48"/>
      <c r="KI28" s="48"/>
      <c r="KJ28" s="48"/>
      <c r="KK28" s="48"/>
      <c r="KL28" s="48"/>
      <c r="KM28" s="48"/>
      <c r="KN28" s="48"/>
      <c r="KO28" s="48"/>
      <c r="KP28" s="46"/>
      <c r="KQ28" s="46"/>
      <c r="KR28" s="46"/>
      <c r="KS28" s="46"/>
      <c r="KT28" s="47"/>
      <c r="KU28" s="50"/>
      <c r="KV28" s="48"/>
      <c r="KW28" s="48"/>
      <c r="KX28" s="48"/>
      <c r="KY28" s="48"/>
      <c r="KZ28" s="48"/>
      <c r="LA28" s="48"/>
      <c r="LB28" s="48"/>
      <c r="LC28" s="48"/>
      <c r="LD28" s="48"/>
      <c r="LE28" s="48"/>
      <c r="LF28" s="48"/>
      <c r="LG28" s="48"/>
      <c r="LH28" s="48"/>
      <c r="LI28" s="48"/>
      <c r="LJ28" s="48"/>
      <c r="LK28" s="48"/>
      <c r="LL28" s="48"/>
      <c r="LM28" s="46"/>
      <c r="LN28" s="46"/>
      <c r="LO28" s="46"/>
      <c r="LP28" s="46"/>
      <c r="LQ28" s="47"/>
      <c r="LR28" s="50"/>
      <c r="LS28" s="48"/>
      <c r="LT28" s="48"/>
      <c r="LU28" s="48"/>
      <c r="LV28" s="48"/>
      <c r="LW28" s="48"/>
      <c r="LX28" s="48"/>
      <c r="LY28" s="48"/>
      <c r="LZ28" s="48"/>
      <c r="MA28" s="48"/>
      <c r="MB28" s="48"/>
      <c r="MC28" s="48"/>
      <c r="MD28" s="48"/>
      <c r="ME28" s="48"/>
      <c r="MF28" s="48"/>
      <c r="MG28" s="48"/>
      <c r="MH28" s="48"/>
      <c r="MI28" s="48"/>
      <c r="MJ28" s="46"/>
      <c r="MK28" s="46"/>
      <c r="ML28" s="46"/>
      <c r="MM28" s="46"/>
      <c r="MN28" s="47"/>
      <c r="MO28" s="50"/>
      <c r="MP28" s="48"/>
      <c r="MQ28" s="48"/>
      <c r="MR28" s="48"/>
      <c r="MS28" s="48"/>
      <c r="MT28" s="48"/>
      <c r="MU28" s="48"/>
      <c r="MV28" s="48"/>
      <c r="MW28" s="48"/>
      <c r="MX28" s="48"/>
      <c r="MY28" s="48"/>
      <c r="MZ28" s="48"/>
      <c r="NA28" s="48"/>
      <c r="NB28" s="48"/>
      <c r="NC28" s="48"/>
      <c r="ND28" s="48"/>
      <c r="NE28" s="48"/>
      <c r="NF28" s="48"/>
      <c r="NG28" s="46"/>
      <c r="NH28" s="46"/>
      <c r="NI28" s="46"/>
      <c r="NJ28" s="46"/>
      <c r="NK28" s="47"/>
      <c r="NL28" s="50"/>
      <c r="NM28" s="48"/>
      <c r="NN28" s="48"/>
      <c r="NO28" s="48"/>
      <c r="NP28" s="48"/>
      <c r="NQ28" s="48"/>
      <c r="NR28" s="48"/>
      <c r="NS28" s="48"/>
      <c r="NT28" s="48"/>
      <c r="NU28" s="48"/>
      <c r="NV28" s="48"/>
      <c r="NW28" s="48"/>
      <c r="NX28" s="48"/>
      <c r="NY28" s="48"/>
      <c r="NZ28" s="48"/>
      <c r="OA28" s="48"/>
      <c r="OB28" s="48"/>
      <c r="OC28" s="48"/>
      <c r="OD28" s="46"/>
      <c r="OE28" s="46"/>
      <c r="OF28" s="46"/>
      <c r="OG28" s="46"/>
      <c r="OH28" s="47"/>
      <c r="OI28" s="50"/>
      <c r="OJ28" s="48"/>
      <c r="OK28" s="48"/>
      <c r="OL28" s="48"/>
      <c r="OM28" s="48"/>
      <c r="ON28" s="48"/>
      <c r="OO28" s="48"/>
      <c r="OP28" s="48"/>
      <c r="OQ28" s="48"/>
      <c r="OR28" s="48"/>
      <c r="OS28" s="48"/>
      <c r="OT28" s="48"/>
      <c r="OU28" s="48"/>
      <c r="OV28" s="48"/>
      <c r="OW28" s="48"/>
      <c r="OX28" s="48"/>
      <c r="OY28" s="48"/>
      <c r="OZ28" s="48"/>
      <c r="PA28" s="46"/>
      <c r="PB28" s="46"/>
      <c r="PC28" s="46"/>
      <c r="PD28" s="46"/>
      <c r="PE28" s="47"/>
      <c r="PF28" s="50"/>
      <c r="PG28" s="48"/>
      <c r="PH28" s="48"/>
      <c r="PI28" s="48"/>
      <c r="PJ28" s="48"/>
      <c r="PK28" s="48"/>
      <c r="PL28" s="48"/>
      <c r="PM28" s="48"/>
      <c r="PN28" s="48"/>
      <c r="PO28" s="48"/>
      <c r="PP28" s="48"/>
      <c r="PQ28" s="48"/>
      <c r="PR28" s="48"/>
      <c r="PS28" s="48"/>
      <c r="PT28" s="48"/>
      <c r="PU28" s="48"/>
      <c r="PV28" s="48"/>
      <c r="PW28" s="48"/>
      <c r="PX28" s="46"/>
      <c r="PY28" s="46"/>
      <c r="PZ28" s="46"/>
      <c r="QA28" s="46"/>
      <c r="QB28" s="47"/>
      <c r="QC28" s="50"/>
      <c r="QD28" s="48"/>
      <c r="QE28" s="48"/>
      <c r="QF28" s="48"/>
      <c r="QG28" s="48"/>
      <c r="QH28" s="48"/>
      <c r="QI28" s="48"/>
      <c r="QJ28" s="48"/>
      <c r="QK28" s="48"/>
      <c r="QL28" s="48"/>
      <c r="QM28" s="48"/>
      <c r="QN28" s="48"/>
      <c r="QO28" s="48"/>
      <c r="QP28" s="48"/>
      <c r="QQ28" s="48"/>
      <c r="QR28" s="48"/>
      <c r="QS28" s="48"/>
      <c r="QT28" s="48"/>
      <c r="QU28" s="46"/>
      <c r="QV28" s="46"/>
      <c r="QW28" s="46"/>
      <c r="QX28" s="46"/>
      <c r="QY28" s="47"/>
      <c r="QZ28" s="1"/>
      <c r="RA28" s="1"/>
      <c r="RB28" s="1"/>
      <c r="RC28" s="1"/>
      <c r="RD28" s="1"/>
      <c r="RE28" s="1"/>
      <c r="RF28" s="1"/>
      <c r="RG28" s="1"/>
      <c r="RH28" s="1"/>
      <c r="RI28" s="1"/>
      <c r="RJ28" s="1"/>
      <c r="RK28" s="1"/>
      <c r="RL28" s="1"/>
      <c r="RM28" s="1"/>
      <c r="RN28" s="1"/>
      <c r="RO28" s="1"/>
      <c r="RP28" s="1"/>
      <c r="RQ28" s="1"/>
      <c r="RR28" s="1"/>
      <c r="RS28" s="1"/>
      <c r="RT28" s="1"/>
      <c r="RU28" s="1"/>
      <c r="RV28" s="1"/>
      <c r="RW28" s="1"/>
      <c r="RX28" s="1"/>
      <c r="RY28" s="1"/>
      <c r="RZ28" s="1"/>
      <c r="SA28" s="1"/>
      <c r="SB28" s="1"/>
      <c r="SC28" s="1"/>
      <c r="SD28" s="1"/>
      <c r="SE28" s="1"/>
      <c r="SF28" s="1"/>
      <c r="SG28" s="1"/>
      <c r="SH28" s="1"/>
      <c r="SI28" s="1"/>
      <c r="SJ28" s="1"/>
      <c r="SK28" s="1"/>
      <c r="SL28" s="1"/>
      <c r="SM28" s="1"/>
      <c r="SN28" s="1"/>
      <c r="SO28" s="1"/>
      <c r="SP28" s="1"/>
      <c r="SQ28" s="1"/>
      <c r="SR28" s="1"/>
      <c r="SS28" s="1"/>
      <c r="ST28" s="1"/>
      <c r="SU28" s="1"/>
      <c r="SV28" s="1"/>
      <c r="SW28" s="1"/>
      <c r="SX28" s="1"/>
      <c r="SY28" s="1"/>
      <c r="SZ28" s="1"/>
      <c r="TA28" s="1"/>
      <c r="TB28" s="1"/>
      <c r="TC28" s="1"/>
      <c r="TD28" s="1"/>
      <c r="TE28" s="1"/>
      <c r="TF28" s="1"/>
      <c r="TG28" s="1"/>
      <c r="TH28" s="1"/>
      <c r="TI28" s="1"/>
      <c r="TJ28" s="1"/>
      <c r="TK28" s="1"/>
      <c r="TL28" s="1"/>
      <c r="TM28" s="1"/>
      <c r="TN28" s="1"/>
      <c r="TO28" s="1"/>
      <c r="TP28" s="1"/>
      <c r="TQ28" s="1"/>
      <c r="TR28" s="1"/>
      <c r="TS28" s="1"/>
    </row>
    <row r="29" spans="1:539" ht="40" customHeight="1" x14ac:dyDescent="0.2">
      <c r="A29" s="34" t="s">
        <v>30</v>
      </c>
      <c r="B29" s="7">
        <v>7</v>
      </c>
      <c r="C29" s="7">
        <f>C27</f>
        <v>4</v>
      </c>
      <c r="D29" s="34" t="s">
        <v>24</v>
      </c>
      <c r="F29" s="34"/>
      <c r="G29" s="34"/>
      <c r="H29" s="34"/>
      <c r="I29" s="34"/>
      <c r="J29" s="34"/>
      <c r="K29" s="34"/>
      <c r="L29" s="34"/>
      <c r="M29" s="34"/>
      <c r="N29" s="34"/>
      <c r="O29" s="34">
        <v>54</v>
      </c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 t="str">
        <f t="shared" si="78"/>
        <v>REG</v>
      </c>
      <c r="AB29" s="58"/>
      <c r="FT29" s="59"/>
      <c r="FU29" s="59"/>
      <c r="FV29" s="59"/>
      <c r="FW29" s="60"/>
    </row>
    <row r="30" spans="1:539" ht="40" customHeight="1" x14ac:dyDescent="0.2">
      <c r="A30" s="7" t="str">
        <f>D36</f>
        <v>MAGIC 1</v>
      </c>
      <c r="B30" s="7">
        <v>7</v>
      </c>
      <c r="C30" s="7">
        <f>C23+1</f>
        <v>5</v>
      </c>
      <c r="D30" s="7" t="str">
        <f>D23</f>
        <v>Lachlan Farley</v>
      </c>
      <c r="E30" s="19">
        <v>10</v>
      </c>
      <c r="F30" s="19">
        <v>18</v>
      </c>
      <c r="G30" s="19">
        <v>2</v>
      </c>
      <c r="H30" s="19">
        <v>9</v>
      </c>
      <c r="I30" s="19">
        <f>E30+G30</f>
        <v>12</v>
      </c>
      <c r="J30" s="19">
        <f>F30+H30</f>
        <v>27</v>
      </c>
      <c r="K30" s="19">
        <v>0</v>
      </c>
      <c r="L30" s="19">
        <v>0</v>
      </c>
      <c r="M30" s="19">
        <v>8</v>
      </c>
      <c r="N30" s="19">
        <v>4</v>
      </c>
      <c r="O30" s="19">
        <f>E30*2+G30*3+K30</f>
        <v>26</v>
      </c>
      <c r="P30" s="19">
        <f>M30+N30</f>
        <v>12</v>
      </c>
      <c r="Q30" s="19">
        <v>4</v>
      </c>
      <c r="R30" s="19">
        <v>0</v>
      </c>
      <c r="S30" s="19">
        <v>0</v>
      </c>
      <c r="T30" s="19">
        <v>2</v>
      </c>
      <c r="U30" s="19">
        <v>0</v>
      </c>
      <c r="V30" s="20">
        <f>IFERROR(I30/J30,0)</f>
        <v>0.44444444444444442</v>
      </c>
      <c r="W30" s="20">
        <f>IFERROR(K30/L30,0)</f>
        <v>0</v>
      </c>
      <c r="X30" s="20">
        <f>IFERROR(E30/F30,0)</f>
        <v>0.55555555555555558</v>
      </c>
      <c r="Y30" s="20">
        <f>IFERROR(G30/H30,0)</f>
        <v>0.22222222222222221</v>
      </c>
      <c r="Z30" s="21">
        <f>(O30)+(0.4*I30)-(0.7*J30)-(0.4*(L30-K30))+(0.7*M30)+(0.3*N30)+S30+(0.7*Q30)+(0.7*R30)-(0.4*U30)-T30</f>
        <v>19.5</v>
      </c>
      <c r="AA30" s="21" t="s">
        <v>33</v>
      </c>
      <c r="AB30" s="64"/>
      <c r="FT30" s="60"/>
      <c r="FU30" s="60"/>
      <c r="FV30" s="60"/>
      <c r="FW30" s="60"/>
    </row>
    <row r="31" spans="1:539" ht="40" customHeight="1" x14ac:dyDescent="0.2">
      <c r="A31" s="7" t="str">
        <f>A30</f>
        <v>MAGIC 1</v>
      </c>
      <c r="B31" s="7">
        <v>7</v>
      </c>
      <c r="C31" s="7">
        <f>C30</f>
        <v>5</v>
      </c>
      <c r="D31" s="7" t="str">
        <f>D24</f>
        <v>Josh Huxtable</v>
      </c>
      <c r="E31" s="22">
        <v>4</v>
      </c>
      <c r="F31" s="22">
        <v>7</v>
      </c>
      <c r="G31" s="22">
        <v>1</v>
      </c>
      <c r="H31" s="22">
        <v>7</v>
      </c>
      <c r="I31" s="22">
        <f t="shared" ref="I31:J34" si="95">E31+G31</f>
        <v>5</v>
      </c>
      <c r="J31" s="22">
        <f t="shared" si="95"/>
        <v>14</v>
      </c>
      <c r="K31" s="22">
        <v>0</v>
      </c>
      <c r="L31" s="22">
        <v>0</v>
      </c>
      <c r="M31" s="22">
        <v>3</v>
      </c>
      <c r="N31" s="22">
        <v>6</v>
      </c>
      <c r="O31" s="22">
        <f t="shared" ref="O31:O34" si="96">E31*2+G31*3+K31</f>
        <v>11</v>
      </c>
      <c r="P31" s="22">
        <f t="shared" ref="P31:P34" si="97">M31+N31</f>
        <v>9</v>
      </c>
      <c r="Q31" s="22">
        <v>2</v>
      </c>
      <c r="R31" s="22">
        <v>0</v>
      </c>
      <c r="S31" s="22">
        <v>0</v>
      </c>
      <c r="T31" s="22">
        <v>3</v>
      </c>
      <c r="U31" s="22">
        <v>0</v>
      </c>
      <c r="V31" s="23">
        <f t="shared" ref="V31:V35" si="98">IFERROR(I31/J31,0)</f>
        <v>0.35714285714285715</v>
      </c>
      <c r="W31" s="23">
        <f t="shared" ref="W31:W35" si="99">IFERROR(K31/L31,0)</f>
        <v>0</v>
      </c>
      <c r="X31" s="23">
        <f t="shared" ref="X31:X35" si="100">IFERROR(E31/F31,0)</f>
        <v>0.5714285714285714</v>
      </c>
      <c r="Y31" s="23">
        <f t="shared" ref="Y31:Y35" si="101">IFERROR(G31/H31,0)</f>
        <v>0.14285714285714285</v>
      </c>
      <c r="Z31" s="24">
        <f t="shared" ref="Z31:Z34" si="102">(O31)+(0.4*I31)-(0.7*J31)-(0.4*(L31-K31))+(0.7*M31)+(0.3*N31)+S31+(0.7*Q31)+(0.7*R31)-(0.4*U31)-T31</f>
        <v>5.5</v>
      </c>
      <c r="AA31" s="24" t="str">
        <f>AA30</f>
        <v>REG</v>
      </c>
      <c r="FT31" s="60"/>
      <c r="FU31" s="60"/>
      <c r="FV31" s="60"/>
      <c r="FW31" s="60"/>
    </row>
    <row r="32" spans="1:539" ht="40" customHeight="1" x14ac:dyDescent="0.2">
      <c r="A32" s="7" t="str">
        <f t="shared" ref="A32:A34" si="103">A31</f>
        <v>MAGIC 1</v>
      </c>
      <c r="B32" s="7">
        <v>7</v>
      </c>
      <c r="C32" s="7">
        <f t="shared" ref="C32:C34" si="104">C31</f>
        <v>5</v>
      </c>
      <c r="D32" s="7" t="str">
        <f>D25</f>
        <v>Darcy Bishop</v>
      </c>
      <c r="E32" s="25">
        <v>2</v>
      </c>
      <c r="F32" s="25">
        <v>3</v>
      </c>
      <c r="G32" s="25">
        <v>0</v>
      </c>
      <c r="H32" s="25">
        <v>2</v>
      </c>
      <c r="I32" s="25">
        <f t="shared" si="95"/>
        <v>2</v>
      </c>
      <c r="J32" s="25">
        <f t="shared" si="95"/>
        <v>5</v>
      </c>
      <c r="K32" s="25">
        <v>0</v>
      </c>
      <c r="L32" s="25">
        <v>0</v>
      </c>
      <c r="M32" s="25">
        <v>4</v>
      </c>
      <c r="N32" s="25">
        <v>0</v>
      </c>
      <c r="O32" s="25">
        <f t="shared" si="96"/>
        <v>4</v>
      </c>
      <c r="P32" s="25">
        <f t="shared" si="97"/>
        <v>4</v>
      </c>
      <c r="Q32" s="25">
        <v>23</v>
      </c>
      <c r="R32" s="25">
        <v>0</v>
      </c>
      <c r="S32" s="25">
        <v>0</v>
      </c>
      <c r="T32" s="25">
        <v>4</v>
      </c>
      <c r="U32" s="25">
        <v>0</v>
      </c>
      <c r="V32" s="26">
        <f t="shared" si="98"/>
        <v>0.4</v>
      </c>
      <c r="W32" s="26">
        <f t="shared" si="99"/>
        <v>0</v>
      </c>
      <c r="X32" s="26">
        <f t="shared" si="100"/>
        <v>0.66666666666666663</v>
      </c>
      <c r="Y32" s="26">
        <f t="shared" si="101"/>
        <v>0</v>
      </c>
      <c r="Z32" s="27">
        <f t="shared" si="102"/>
        <v>16.199999999999996</v>
      </c>
      <c r="AA32" s="27" t="str">
        <f t="shared" si="78"/>
        <v>REG</v>
      </c>
      <c r="FT32" s="60"/>
      <c r="FU32" s="60"/>
      <c r="FV32" s="60"/>
      <c r="FW32" s="60"/>
    </row>
    <row r="33" spans="1:539" ht="40" customHeight="1" x14ac:dyDescent="0.2">
      <c r="A33" s="7" t="str">
        <f t="shared" si="103"/>
        <v>MAGIC 1</v>
      </c>
      <c r="B33" s="7">
        <v>7</v>
      </c>
      <c r="C33" s="7">
        <f t="shared" si="104"/>
        <v>5</v>
      </c>
      <c r="D33" s="7" t="str">
        <f>D26</f>
        <v>Harry Coller</v>
      </c>
      <c r="E33" s="28">
        <v>4</v>
      </c>
      <c r="F33" s="28">
        <v>4</v>
      </c>
      <c r="G33" s="28">
        <v>13</v>
      </c>
      <c r="H33" s="28">
        <v>30</v>
      </c>
      <c r="I33" s="28">
        <f t="shared" si="95"/>
        <v>17</v>
      </c>
      <c r="J33" s="28">
        <f t="shared" si="95"/>
        <v>34</v>
      </c>
      <c r="K33" s="28">
        <v>0</v>
      </c>
      <c r="L33" s="28">
        <v>0</v>
      </c>
      <c r="M33" s="28">
        <v>1</v>
      </c>
      <c r="N33" s="28">
        <v>12</v>
      </c>
      <c r="O33" s="28">
        <f t="shared" si="96"/>
        <v>47</v>
      </c>
      <c r="P33" s="28">
        <f t="shared" si="97"/>
        <v>13</v>
      </c>
      <c r="Q33" s="28">
        <v>2</v>
      </c>
      <c r="R33" s="28">
        <v>1</v>
      </c>
      <c r="S33" s="28">
        <v>4</v>
      </c>
      <c r="T33" s="28">
        <v>0</v>
      </c>
      <c r="U33" s="28">
        <v>0</v>
      </c>
      <c r="V33" s="29">
        <f t="shared" si="98"/>
        <v>0.5</v>
      </c>
      <c r="W33" s="29">
        <f t="shared" si="99"/>
        <v>0</v>
      </c>
      <c r="X33" s="29">
        <f t="shared" si="100"/>
        <v>1</v>
      </c>
      <c r="Y33" s="29">
        <f t="shared" si="101"/>
        <v>0.43333333333333335</v>
      </c>
      <c r="Z33" s="30">
        <f t="shared" si="102"/>
        <v>40.4</v>
      </c>
      <c r="AA33" s="30" t="str">
        <f t="shared" si="78"/>
        <v>REG</v>
      </c>
      <c r="FT33" s="60"/>
      <c r="FU33" s="60"/>
      <c r="FV33" s="60"/>
      <c r="FW33" s="60"/>
    </row>
    <row r="34" spans="1:539" ht="40" customHeight="1" x14ac:dyDescent="0.2">
      <c r="A34" s="7" t="str">
        <f t="shared" si="103"/>
        <v>MAGIC 1</v>
      </c>
      <c r="B34" s="7">
        <v>7</v>
      </c>
      <c r="C34" s="7">
        <f t="shared" si="104"/>
        <v>5</v>
      </c>
      <c r="D34" s="7" t="str">
        <f>D27</f>
        <v>Adam Blain</v>
      </c>
      <c r="E34" s="31">
        <v>5</v>
      </c>
      <c r="F34" s="31">
        <v>10</v>
      </c>
      <c r="G34" s="31">
        <v>4</v>
      </c>
      <c r="H34" s="31">
        <v>11</v>
      </c>
      <c r="I34" s="31">
        <f t="shared" si="95"/>
        <v>9</v>
      </c>
      <c r="J34" s="31">
        <f t="shared" si="95"/>
        <v>21</v>
      </c>
      <c r="K34" s="31">
        <v>0</v>
      </c>
      <c r="L34" s="31">
        <v>0</v>
      </c>
      <c r="M34" s="31">
        <v>2</v>
      </c>
      <c r="N34" s="31">
        <v>23</v>
      </c>
      <c r="O34" s="31">
        <f t="shared" si="96"/>
        <v>22</v>
      </c>
      <c r="P34" s="31">
        <f t="shared" si="97"/>
        <v>25</v>
      </c>
      <c r="Q34" s="31">
        <v>3</v>
      </c>
      <c r="R34" s="31">
        <v>2</v>
      </c>
      <c r="S34" s="31">
        <v>6</v>
      </c>
      <c r="T34" s="31">
        <v>3</v>
      </c>
      <c r="U34" s="31">
        <v>1</v>
      </c>
      <c r="V34" s="32">
        <f t="shared" si="98"/>
        <v>0.42857142857142855</v>
      </c>
      <c r="W34" s="32">
        <f t="shared" si="99"/>
        <v>0</v>
      </c>
      <c r="X34" s="32">
        <f t="shared" si="100"/>
        <v>0.5</v>
      </c>
      <c r="Y34" s="32">
        <f t="shared" si="101"/>
        <v>0.36363636363636365</v>
      </c>
      <c r="Z34" s="33">
        <f t="shared" si="102"/>
        <v>25.300000000000004</v>
      </c>
      <c r="AA34" s="33" t="str">
        <f t="shared" si="78"/>
        <v>REG</v>
      </c>
      <c r="FT34" s="60"/>
      <c r="FU34" s="60"/>
      <c r="FV34" s="60"/>
      <c r="FW34" s="60"/>
    </row>
    <row r="35" spans="1:539" s="67" customFormat="1" ht="40" customHeight="1" x14ac:dyDescent="0.2">
      <c r="A35" s="66" t="str">
        <f>A34</f>
        <v>MAGIC 1</v>
      </c>
      <c r="B35" s="7">
        <f>B34</f>
        <v>7</v>
      </c>
      <c r="C35" s="7">
        <f>C34</f>
        <v>5</v>
      </c>
      <c r="D35" s="66" t="s">
        <v>31</v>
      </c>
      <c r="E35" s="17">
        <f>SUM(E30:E34)</f>
        <v>25</v>
      </c>
      <c r="F35" s="17">
        <f t="shared" ref="F35" si="105">SUM(F30:F34)</f>
        <v>42</v>
      </c>
      <c r="G35" s="17">
        <f t="shared" ref="G35" si="106">SUM(G30:G34)</f>
        <v>20</v>
      </c>
      <c r="H35" s="17">
        <f t="shared" ref="H35" si="107">SUM(H30:H34)</f>
        <v>59</v>
      </c>
      <c r="I35" s="17">
        <f t="shared" ref="I35" si="108">SUM(I30:I34)</f>
        <v>45</v>
      </c>
      <c r="J35" s="17">
        <f t="shared" ref="J35" si="109">SUM(J30:J34)</f>
        <v>101</v>
      </c>
      <c r="K35" s="17">
        <f t="shared" ref="K35" si="110">SUM(K30:K34)</f>
        <v>0</v>
      </c>
      <c r="L35" s="17">
        <f t="shared" ref="L35" si="111">SUM(L30:L34)</f>
        <v>0</v>
      </c>
      <c r="M35" s="17">
        <f t="shared" ref="M35" si="112">SUM(M30:M34)</f>
        <v>18</v>
      </c>
      <c r="N35" s="17">
        <f t="shared" ref="N35" si="113">SUM(N30:N34)</f>
        <v>45</v>
      </c>
      <c r="O35" s="17">
        <f t="shared" ref="O35" si="114">SUM(O30:O34)</f>
        <v>110</v>
      </c>
      <c r="P35" s="17">
        <f t="shared" ref="P35" si="115">SUM(P30:P34)</f>
        <v>63</v>
      </c>
      <c r="Q35" s="17">
        <f t="shared" ref="Q35" si="116">SUM(Q30:Q34)</f>
        <v>34</v>
      </c>
      <c r="R35" s="17">
        <f t="shared" ref="R35" si="117">SUM(R30:R34)</f>
        <v>3</v>
      </c>
      <c r="S35" s="17">
        <f t="shared" ref="S35" si="118">SUM(S30:S34)</f>
        <v>10</v>
      </c>
      <c r="T35" s="17">
        <f t="shared" ref="T35" si="119">SUM(T30:T34)</f>
        <v>12</v>
      </c>
      <c r="U35" s="17">
        <f t="shared" ref="U35" si="120">SUM(U30:U34)</f>
        <v>1</v>
      </c>
      <c r="V35" s="68">
        <f t="shared" si="98"/>
        <v>0.44554455445544555</v>
      </c>
      <c r="W35" s="68">
        <f t="shared" si="99"/>
        <v>0</v>
      </c>
      <c r="X35" s="68">
        <f t="shared" si="100"/>
        <v>0.59523809523809523</v>
      </c>
      <c r="Y35" s="68">
        <f t="shared" si="101"/>
        <v>0.33898305084745761</v>
      </c>
      <c r="Z35" s="69">
        <f>AVERAGE(Z30:Z34)</f>
        <v>21.380000000000003</v>
      </c>
      <c r="AA35" s="69" t="str">
        <f t="shared" si="78"/>
        <v>REG</v>
      </c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  <c r="IX35" s="1"/>
      <c r="IY35" s="1"/>
      <c r="IZ35" s="1"/>
      <c r="JA35" s="1"/>
      <c r="JB35" s="1"/>
      <c r="JC35" s="1"/>
      <c r="JD35" s="1"/>
      <c r="JE35" s="1"/>
      <c r="JF35" s="1"/>
      <c r="JG35" s="1"/>
      <c r="JH35" s="1"/>
      <c r="JI35" s="1"/>
      <c r="JJ35" s="1"/>
      <c r="JK35" s="1"/>
      <c r="JL35" s="1"/>
      <c r="JM35" s="1"/>
      <c r="JN35" s="1"/>
      <c r="JO35" s="1"/>
      <c r="JP35" s="1"/>
      <c r="JQ35" s="1"/>
      <c r="JR35" s="1"/>
      <c r="JS35" s="1"/>
      <c r="JT35" s="1"/>
      <c r="JU35" s="1"/>
      <c r="JV35" s="1"/>
      <c r="JW35" s="1"/>
      <c r="JX35" s="50"/>
      <c r="JY35" s="48"/>
      <c r="JZ35" s="48"/>
      <c r="KA35" s="48"/>
      <c r="KB35" s="48"/>
      <c r="KC35" s="48"/>
      <c r="KD35" s="48"/>
      <c r="KE35" s="48"/>
      <c r="KF35" s="48"/>
      <c r="KG35" s="48"/>
      <c r="KH35" s="48"/>
      <c r="KI35" s="48"/>
      <c r="KJ35" s="48"/>
      <c r="KK35" s="48"/>
      <c r="KL35" s="48"/>
      <c r="KM35" s="48"/>
      <c r="KN35" s="48"/>
      <c r="KO35" s="48"/>
      <c r="KP35" s="46"/>
      <c r="KQ35" s="46"/>
      <c r="KR35" s="46"/>
      <c r="KS35" s="46"/>
      <c r="KT35" s="47"/>
      <c r="KU35" s="50"/>
      <c r="KV35" s="48"/>
      <c r="KW35" s="48"/>
      <c r="KX35" s="48"/>
      <c r="KY35" s="48"/>
      <c r="KZ35" s="48"/>
      <c r="LA35" s="48"/>
      <c r="LB35" s="48"/>
      <c r="LC35" s="48"/>
      <c r="LD35" s="48"/>
      <c r="LE35" s="48"/>
      <c r="LF35" s="48"/>
      <c r="LG35" s="48"/>
      <c r="LH35" s="48"/>
      <c r="LI35" s="48"/>
      <c r="LJ35" s="48"/>
      <c r="LK35" s="48"/>
      <c r="LL35" s="48"/>
      <c r="LM35" s="46"/>
      <c r="LN35" s="46"/>
      <c r="LO35" s="46"/>
      <c r="LP35" s="46"/>
      <c r="LQ35" s="47"/>
      <c r="LR35" s="50"/>
      <c r="LS35" s="48"/>
      <c r="LT35" s="48"/>
      <c r="LU35" s="48"/>
      <c r="LV35" s="48"/>
      <c r="LW35" s="48"/>
      <c r="LX35" s="48"/>
      <c r="LY35" s="48"/>
      <c r="LZ35" s="48"/>
      <c r="MA35" s="48"/>
      <c r="MB35" s="48"/>
      <c r="MC35" s="48"/>
      <c r="MD35" s="48"/>
      <c r="ME35" s="48"/>
      <c r="MF35" s="48"/>
      <c r="MG35" s="48"/>
      <c r="MH35" s="48"/>
      <c r="MI35" s="48"/>
      <c r="MJ35" s="46"/>
      <c r="MK35" s="46"/>
      <c r="ML35" s="46"/>
      <c r="MM35" s="46"/>
      <c r="MN35" s="47"/>
      <c r="MO35" s="50"/>
      <c r="MP35" s="48"/>
      <c r="MQ35" s="48"/>
      <c r="MR35" s="48"/>
      <c r="MS35" s="48"/>
      <c r="MT35" s="48"/>
      <c r="MU35" s="48"/>
      <c r="MV35" s="48"/>
      <c r="MW35" s="48"/>
      <c r="MX35" s="48"/>
      <c r="MY35" s="48"/>
      <c r="MZ35" s="48"/>
      <c r="NA35" s="48"/>
      <c r="NB35" s="48"/>
      <c r="NC35" s="48"/>
      <c r="ND35" s="48"/>
      <c r="NE35" s="48"/>
      <c r="NF35" s="48"/>
      <c r="NG35" s="46"/>
      <c r="NH35" s="46"/>
      <c r="NI35" s="46"/>
      <c r="NJ35" s="46"/>
      <c r="NK35" s="47"/>
      <c r="NL35" s="50"/>
      <c r="NM35" s="48"/>
      <c r="NN35" s="48"/>
      <c r="NO35" s="48"/>
      <c r="NP35" s="48"/>
      <c r="NQ35" s="48"/>
      <c r="NR35" s="48"/>
      <c r="NS35" s="48"/>
      <c r="NT35" s="48"/>
      <c r="NU35" s="48"/>
      <c r="NV35" s="48"/>
      <c r="NW35" s="48"/>
      <c r="NX35" s="48"/>
      <c r="NY35" s="48"/>
      <c r="NZ35" s="48"/>
      <c r="OA35" s="48"/>
      <c r="OB35" s="48"/>
      <c r="OC35" s="48"/>
      <c r="OD35" s="46"/>
      <c r="OE35" s="46"/>
      <c r="OF35" s="46"/>
      <c r="OG35" s="46"/>
      <c r="OH35" s="47"/>
      <c r="OI35" s="50"/>
      <c r="OJ35" s="48"/>
      <c r="OK35" s="48"/>
      <c r="OL35" s="48"/>
      <c r="OM35" s="48"/>
      <c r="ON35" s="48"/>
      <c r="OO35" s="48"/>
      <c r="OP35" s="48"/>
      <c r="OQ35" s="48"/>
      <c r="OR35" s="48"/>
      <c r="OS35" s="48"/>
      <c r="OT35" s="48"/>
      <c r="OU35" s="48"/>
      <c r="OV35" s="48"/>
      <c r="OW35" s="48"/>
      <c r="OX35" s="48"/>
      <c r="OY35" s="48"/>
      <c r="OZ35" s="48"/>
      <c r="PA35" s="46"/>
      <c r="PB35" s="46"/>
      <c r="PC35" s="46"/>
      <c r="PD35" s="46"/>
      <c r="PE35" s="47"/>
      <c r="PF35" s="50"/>
      <c r="PG35" s="48"/>
      <c r="PH35" s="48"/>
      <c r="PI35" s="48"/>
      <c r="PJ35" s="48"/>
      <c r="PK35" s="48"/>
      <c r="PL35" s="48"/>
      <c r="PM35" s="48"/>
      <c r="PN35" s="48"/>
      <c r="PO35" s="48"/>
      <c r="PP35" s="48"/>
      <c r="PQ35" s="48"/>
      <c r="PR35" s="48"/>
      <c r="PS35" s="48"/>
      <c r="PT35" s="48"/>
      <c r="PU35" s="48"/>
      <c r="PV35" s="48"/>
      <c r="PW35" s="48"/>
      <c r="PX35" s="46"/>
      <c r="PY35" s="46"/>
      <c r="PZ35" s="46"/>
      <c r="QA35" s="46"/>
      <c r="QB35" s="47"/>
      <c r="QC35" s="50"/>
      <c r="QD35" s="48"/>
      <c r="QE35" s="48"/>
      <c r="QF35" s="48"/>
      <c r="QG35" s="48"/>
      <c r="QH35" s="48"/>
      <c r="QI35" s="48"/>
      <c r="QJ35" s="48"/>
      <c r="QK35" s="48"/>
      <c r="QL35" s="48"/>
      <c r="QM35" s="48"/>
      <c r="QN35" s="48"/>
      <c r="QO35" s="48"/>
      <c r="QP35" s="48"/>
      <c r="QQ35" s="48"/>
      <c r="QR35" s="48"/>
      <c r="QS35" s="48"/>
      <c r="QT35" s="48"/>
      <c r="QU35" s="46"/>
      <c r="QV35" s="46"/>
      <c r="QW35" s="46"/>
      <c r="QX35" s="46"/>
      <c r="QY35" s="47"/>
      <c r="QZ35" s="1"/>
      <c r="RA35" s="1"/>
      <c r="RB35" s="1"/>
      <c r="RC35" s="1"/>
      <c r="RD35" s="1"/>
      <c r="RE35" s="1"/>
      <c r="RF35" s="1"/>
      <c r="RG35" s="1"/>
      <c r="RH35" s="1"/>
      <c r="RI35" s="1"/>
      <c r="RJ35" s="1"/>
      <c r="RK35" s="1"/>
      <c r="RL35" s="1"/>
      <c r="RM35" s="1"/>
      <c r="RN35" s="1"/>
      <c r="RO35" s="1"/>
      <c r="RP35" s="1"/>
      <c r="RQ35" s="1"/>
      <c r="RR35" s="1"/>
      <c r="RS35" s="1"/>
      <c r="RT35" s="1"/>
      <c r="RU35" s="1"/>
      <c r="RV35" s="1"/>
      <c r="RW35" s="1"/>
      <c r="RX35" s="1"/>
      <c r="RY35" s="1"/>
      <c r="RZ35" s="1"/>
      <c r="SA35" s="1"/>
      <c r="SB35" s="1"/>
      <c r="SC35" s="1"/>
      <c r="SD35" s="1"/>
      <c r="SE35" s="1"/>
      <c r="SF35" s="1"/>
      <c r="SG35" s="1"/>
      <c r="SH35" s="1"/>
      <c r="SI35" s="1"/>
      <c r="SJ35" s="1"/>
      <c r="SK35" s="1"/>
      <c r="SL35" s="1"/>
      <c r="SM35" s="1"/>
      <c r="SN35" s="1"/>
      <c r="SO35" s="1"/>
      <c r="SP35" s="1"/>
      <c r="SQ35" s="1"/>
      <c r="SR35" s="1"/>
      <c r="SS35" s="1"/>
      <c r="ST35" s="1"/>
      <c r="SU35" s="1"/>
      <c r="SV35" s="1"/>
      <c r="SW35" s="1"/>
      <c r="SX35" s="1"/>
      <c r="SY35" s="1"/>
      <c r="SZ35" s="1"/>
      <c r="TA35" s="1"/>
      <c r="TB35" s="1"/>
      <c r="TC35" s="1"/>
      <c r="TD35" s="1"/>
      <c r="TE35" s="1"/>
      <c r="TF35" s="1"/>
      <c r="TG35" s="1"/>
      <c r="TH35" s="1"/>
      <c r="TI35" s="1"/>
      <c r="TJ35" s="1"/>
      <c r="TK35" s="1"/>
      <c r="TL35" s="1"/>
      <c r="TM35" s="1"/>
      <c r="TN35" s="1"/>
      <c r="TO35" s="1"/>
      <c r="TP35" s="1"/>
      <c r="TQ35" s="1"/>
      <c r="TR35" s="1"/>
      <c r="TS35" s="1"/>
    </row>
    <row r="36" spans="1:539" ht="40" customHeight="1" x14ac:dyDescent="0.2">
      <c r="A36" s="34" t="s">
        <v>30</v>
      </c>
      <c r="B36" s="7">
        <v>7</v>
      </c>
      <c r="C36" s="7">
        <f>C34</f>
        <v>5</v>
      </c>
      <c r="D36" s="34" t="s">
        <v>35</v>
      </c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>
        <v>66</v>
      </c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 t="str">
        <f t="shared" si="78"/>
        <v>REG</v>
      </c>
      <c r="FT36" s="60"/>
      <c r="FU36" s="60"/>
      <c r="FV36" s="60"/>
      <c r="FW36" s="60"/>
    </row>
    <row r="37" spans="1:539" ht="40" customHeight="1" x14ac:dyDescent="0.2">
      <c r="A37" s="7" t="str">
        <f>A38</f>
        <v>LIGHTNING 2</v>
      </c>
      <c r="B37" s="7">
        <v>7</v>
      </c>
      <c r="C37" s="7">
        <f>C30+1</f>
        <v>6</v>
      </c>
      <c r="D37" s="7" t="s">
        <v>52</v>
      </c>
      <c r="E37" s="8">
        <v>0</v>
      </c>
      <c r="F37" s="8">
        <v>0</v>
      </c>
      <c r="G37" s="8">
        <v>0</v>
      </c>
      <c r="H37" s="8">
        <v>0</v>
      </c>
      <c r="I37" s="8">
        <f t="shared" ref="I37:J38" si="121">E37+G37</f>
        <v>0</v>
      </c>
      <c r="J37" s="8">
        <f t="shared" si="121"/>
        <v>0</v>
      </c>
      <c r="K37" s="8">
        <v>0</v>
      </c>
      <c r="L37" s="8">
        <v>0</v>
      </c>
      <c r="M37" s="8">
        <v>3</v>
      </c>
      <c r="N37" s="8">
        <v>4</v>
      </c>
      <c r="O37" s="8">
        <f t="shared" ref="O37:O38" si="122">E37*2+G37*3+K37</f>
        <v>0</v>
      </c>
      <c r="P37" s="8">
        <f t="shared" ref="P37:P38" si="123">M37+N37</f>
        <v>7</v>
      </c>
      <c r="Q37" s="8">
        <v>1</v>
      </c>
      <c r="R37" s="8">
        <v>1</v>
      </c>
      <c r="S37" s="8">
        <v>0</v>
      </c>
      <c r="T37" s="8">
        <v>1</v>
      </c>
      <c r="U37" s="8">
        <v>4</v>
      </c>
      <c r="V37" s="9">
        <f>IFERROR(I37/J37,0)</f>
        <v>0</v>
      </c>
      <c r="W37" s="9">
        <f>IFERROR(K37/L37,0)</f>
        <v>0</v>
      </c>
      <c r="X37" s="9">
        <f>IFERROR(E37/F37,0)</f>
        <v>0</v>
      </c>
      <c r="Y37" s="9">
        <f>IFERROR(G37/H37,0)</f>
        <v>0</v>
      </c>
      <c r="Z37" s="10">
        <f>(O37)+(0.4*I37)-(0.7*J37)-(0.4*(L37-K37))+(0.7*M37)+(0.3*N37)+S37+(0.7*Q37)+(0.7*R37)-(0.4*U37)-T37</f>
        <v>2.1</v>
      </c>
      <c r="AA37" s="21" t="s">
        <v>33</v>
      </c>
      <c r="FT37" s="60"/>
      <c r="FU37" s="60"/>
      <c r="FV37" s="60"/>
      <c r="FW37" s="60"/>
    </row>
    <row r="38" spans="1:539" ht="40" customHeight="1" x14ac:dyDescent="0.2">
      <c r="A38" s="7" t="str">
        <f>A39</f>
        <v>LIGHTNING 2</v>
      </c>
      <c r="B38" s="7">
        <v>7</v>
      </c>
      <c r="C38" s="7">
        <f>C31+1</f>
        <v>6</v>
      </c>
      <c r="D38" s="7" t="s">
        <v>51</v>
      </c>
      <c r="E38" s="11">
        <v>1</v>
      </c>
      <c r="F38" s="11">
        <v>2</v>
      </c>
      <c r="G38" s="11">
        <v>0</v>
      </c>
      <c r="H38" s="11">
        <v>2</v>
      </c>
      <c r="I38" s="11">
        <f t="shared" si="121"/>
        <v>1</v>
      </c>
      <c r="J38" s="11">
        <f t="shared" si="121"/>
        <v>4</v>
      </c>
      <c r="K38" s="11">
        <v>0</v>
      </c>
      <c r="L38" s="11">
        <v>0</v>
      </c>
      <c r="M38" s="11">
        <v>5</v>
      </c>
      <c r="N38" s="11">
        <v>6</v>
      </c>
      <c r="O38" s="11">
        <f t="shared" si="122"/>
        <v>2</v>
      </c>
      <c r="P38" s="11">
        <f t="shared" si="123"/>
        <v>11</v>
      </c>
      <c r="Q38" s="11">
        <v>1</v>
      </c>
      <c r="R38" s="11">
        <v>0</v>
      </c>
      <c r="S38" s="11">
        <v>1</v>
      </c>
      <c r="T38" s="11">
        <v>0</v>
      </c>
      <c r="U38" s="11">
        <v>1</v>
      </c>
      <c r="V38" s="12">
        <f>IFERROR(I38/J38,0)</f>
        <v>0.25</v>
      </c>
      <c r="W38" s="12">
        <f>IFERROR(K38/L38,0)</f>
        <v>0</v>
      </c>
      <c r="X38" s="12">
        <f>IFERROR(E38/F38,0)</f>
        <v>0.5</v>
      </c>
      <c r="Y38" s="12">
        <f>IFERROR(G38/H38,0)</f>
        <v>0</v>
      </c>
      <c r="Z38" s="13">
        <f>(O38)+(0.4*I38)-(0.7*J38)-(0.4*(L38-K38))+(0.7*M38)+(0.3*N38)+S38+(0.7*Q38)+(0.7*R38)-(0.4*U38)-T38</f>
        <v>6.2</v>
      </c>
      <c r="AA38" s="24" t="str">
        <f>AA37</f>
        <v>REG</v>
      </c>
      <c r="AB38" s="2"/>
      <c r="AC38" s="2"/>
      <c r="FT38" s="60"/>
      <c r="FU38" s="60"/>
      <c r="FV38" s="60"/>
      <c r="FW38" s="60"/>
    </row>
    <row r="39" spans="1:539" ht="40" customHeight="1" x14ac:dyDescent="0.2">
      <c r="A39" s="7" t="str">
        <f>D43</f>
        <v>LIGHTNING 2</v>
      </c>
      <c r="B39" s="7">
        <v>7</v>
      </c>
      <c r="C39" s="7">
        <f>C32+1</f>
        <v>6</v>
      </c>
      <c r="D39" s="7" t="str">
        <f>D30</f>
        <v>Lachlan Farley</v>
      </c>
      <c r="E39" s="19">
        <v>9</v>
      </c>
      <c r="F39" s="19">
        <v>20</v>
      </c>
      <c r="G39" s="19">
        <v>3</v>
      </c>
      <c r="H39" s="19">
        <v>10</v>
      </c>
      <c r="I39" s="19">
        <f>E39+G39</f>
        <v>12</v>
      </c>
      <c r="J39" s="19">
        <f>F39+H39</f>
        <v>30</v>
      </c>
      <c r="K39" s="19">
        <v>4</v>
      </c>
      <c r="L39" s="19">
        <v>6</v>
      </c>
      <c r="M39" s="19">
        <v>5</v>
      </c>
      <c r="N39" s="19">
        <v>5</v>
      </c>
      <c r="O39" s="19">
        <f>E39*2+G39*3+K39</f>
        <v>31</v>
      </c>
      <c r="P39" s="19">
        <f>M39+N39</f>
        <v>10</v>
      </c>
      <c r="Q39" s="19">
        <v>4</v>
      </c>
      <c r="R39" s="19">
        <v>1</v>
      </c>
      <c r="S39" s="19">
        <v>2</v>
      </c>
      <c r="T39" s="19">
        <v>7</v>
      </c>
      <c r="U39" s="19">
        <v>3</v>
      </c>
      <c r="V39" s="20">
        <f>IFERROR(I39/J39,0)</f>
        <v>0.4</v>
      </c>
      <c r="W39" s="20">
        <f>IFERROR(K39/L39,0)</f>
        <v>0.66666666666666663</v>
      </c>
      <c r="X39" s="20">
        <f>IFERROR(E39/F39,0)</f>
        <v>0.45</v>
      </c>
      <c r="Y39" s="20">
        <f>IFERROR(G39/H39,0)</f>
        <v>0.3</v>
      </c>
      <c r="Z39" s="21">
        <f>(O39)+(0.4*I39)-(0.7*J39)-(0.4*(L39-K39))+(0.7*M39)+(0.3*N39)+S39+(0.7*Q39)+(0.7*R39)-(0.4*U39)-T39</f>
        <v>16.299999999999997</v>
      </c>
      <c r="AA39" s="27" t="str">
        <f t="shared" ref="AA39:AA43" si="124">AA38</f>
        <v>REG</v>
      </c>
    </row>
    <row r="40" spans="1:539" ht="40" customHeight="1" x14ac:dyDescent="0.2">
      <c r="A40" s="7" t="str">
        <f>A39</f>
        <v>LIGHTNING 2</v>
      </c>
      <c r="B40" s="7">
        <v>7</v>
      </c>
      <c r="C40" s="7">
        <f>C39</f>
        <v>6</v>
      </c>
      <c r="D40" s="7" t="str">
        <f>D32</f>
        <v>Darcy Bishop</v>
      </c>
      <c r="E40" s="25">
        <v>1</v>
      </c>
      <c r="F40" s="25">
        <v>6</v>
      </c>
      <c r="G40" s="25">
        <v>0</v>
      </c>
      <c r="H40" s="25">
        <v>3</v>
      </c>
      <c r="I40" s="25">
        <f t="shared" ref="I40:J41" si="125">E40+G40</f>
        <v>1</v>
      </c>
      <c r="J40" s="25">
        <f t="shared" si="125"/>
        <v>9</v>
      </c>
      <c r="K40" s="25">
        <v>1</v>
      </c>
      <c r="L40" s="25">
        <v>3</v>
      </c>
      <c r="M40" s="25">
        <v>1</v>
      </c>
      <c r="N40" s="25">
        <v>2</v>
      </c>
      <c r="O40" s="25">
        <f t="shared" ref="O40:O41" si="126">E40*2+G40*3+K40</f>
        <v>3</v>
      </c>
      <c r="P40" s="25">
        <f t="shared" ref="P40:P41" si="127">M40+N40</f>
        <v>3</v>
      </c>
      <c r="Q40" s="25">
        <v>2</v>
      </c>
      <c r="R40" s="25">
        <v>0</v>
      </c>
      <c r="S40" s="25">
        <v>1</v>
      </c>
      <c r="T40" s="25">
        <v>3</v>
      </c>
      <c r="U40" s="25">
        <v>0</v>
      </c>
      <c r="V40" s="26">
        <f t="shared" ref="V40:V42" si="128">IFERROR(I40/J40,0)</f>
        <v>0.1111111111111111</v>
      </c>
      <c r="W40" s="26">
        <f t="shared" ref="W40:W42" si="129">IFERROR(K40/L40,0)</f>
        <v>0.33333333333333331</v>
      </c>
      <c r="X40" s="26">
        <f t="shared" ref="X40:X42" si="130">IFERROR(E40/F40,0)</f>
        <v>0.16666666666666666</v>
      </c>
      <c r="Y40" s="26">
        <f t="shared" ref="Y40:Y42" si="131">IFERROR(G40/H40,0)</f>
        <v>0</v>
      </c>
      <c r="Z40" s="27">
        <f t="shared" ref="Z40:Z41" si="132">(O40)+(0.4*I40)-(0.7*J40)-(0.4*(L40-K40))+(0.7*M40)+(0.3*N40)+S40+(0.7*Q40)+(0.7*R40)-(0.4*U40)-T40</f>
        <v>-3</v>
      </c>
      <c r="AA40" s="30" t="str">
        <f t="shared" si="124"/>
        <v>REG</v>
      </c>
    </row>
    <row r="41" spans="1:539" ht="40" customHeight="1" x14ac:dyDescent="0.2">
      <c r="A41" s="7" t="str">
        <f>A40</f>
        <v>LIGHTNING 2</v>
      </c>
      <c r="B41" s="7">
        <v>7</v>
      </c>
      <c r="C41" s="7">
        <f>C40</f>
        <v>6</v>
      </c>
      <c r="D41" s="7" t="str">
        <f>D34</f>
        <v>Adam Blain</v>
      </c>
      <c r="E41" s="31">
        <v>2</v>
      </c>
      <c r="F41" s="31">
        <v>11</v>
      </c>
      <c r="G41" s="31">
        <v>3</v>
      </c>
      <c r="H41" s="31">
        <v>9</v>
      </c>
      <c r="I41" s="31">
        <f t="shared" si="125"/>
        <v>5</v>
      </c>
      <c r="J41" s="31">
        <f t="shared" si="125"/>
        <v>20</v>
      </c>
      <c r="K41" s="31">
        <v>0</v>
      </c>
      <c r="L41" s="31">
        <v>0</v>
      </c>
      <c r="M41" s="31">
        <v>5</v>
      </c>
      <c r="N41" s="31">
        <v>8</v>
      </c>
      <c r="O41" s="31">
        <f t="shared" si="126"/>
        <v>13</v>
      </c>
      <c r="P41" s="31">
        <f t="shared" si="127"/>
        <v>13</v>
      </c>
      <c r="Q41" s="31">
        <v>4</v>
      </c>
      <c r="R41" s="31">
        <v>1</v>
      </c>
      <c r="S41" s="31">
        <v>1</v>
      </c>
      <c r="T41" s="31">
        <v>2</v>
      </c>
      <c r="U41" s="31">
        <v>0</v>
      </c>
      <c r="V41" s="32">
        <f t="shared" si="128"/>
        <v>0.25</v>
      </c>
      <c r="W41" s="32">
        <f t="shared" si="129"/>
        <v>0</v>
      </c>
      <c r="X41" s="32">
        <f t="shared" si="130"/>
        <v>0.18181818181818182</v>
      </c>
      <c r="Y41" s="32">
        <f t="shared" si="131"/>
        <v>0.33333333333333331</v>
      </c>
      <c r="Z41" s="33">
        <f t="shared" si="132"/>
        <v>9.3999999999999986</v>
      </c>
      <c r="AA41" s="33" t="str">
        <f t="shared" si="124"/>
        <v>REG</v>
      </c>
    </row>
    <row r="42" spans="1:539" s="67" customFormat="1" ht="40" customHeight="1" x14ac:dyDescent="0.2">
      <c r="A42" s="66" t="str">
        <f>A41</f>
        <v>LIGHTNING 2</v>
      </c>
      <c r="B42" s="7">
        <f>B41</f>
        <v>7</v>
      </c>
      <c r="C42" s="7">
        <f>C41</f>
        <v>6</v>
      </c>
      <c r="D42" s="66" t="s">
        <v>31</v>
      </c>
      <c r="E42" s="17">
        <f>SUM(E37:E41)</f>
        <v>13</v>
      </c>
      <c r="F42" s="17">
        <f t="shared" ref="F42" si="133">SUM(F37:F41)</f>
        <v>39</v>
      </c>
      <c r="G42" s="17">
        <f t="shared" ref="G42" si="134">SUM(G37:G41)</f>
        <v>6</v>
      </c>
      <c r="H42" s="17">
        <f t="shared" ref="H42" si="135">SUM(H37:H41)</f>
        <v>24</v>
      </c>
      <c r="I42" s="17">
        <f t="shared" ref="I42" si="136">SUM(I37:I41)</f>
        <v>19</v>
      </c>
      <c r="J42" s="17">
        <f t="shared" ref="J42" si="137">SUM(J37:J41)</f>
        <v>63</v>
      </c>
      <c r="K42" s="17">
        <f t="shared" ref="K42" si="138">SUM(K37:K41)</f>
        <v>5</v>
      </c>
      <c r="L42" s="17">
        <f t="shared" ref="L42" si="139">SUM(L37:L41)</f>
        <v>9</v>
      </c>
      <c r="M42" s="17">
        <f t="shared" ref="M42" si="140">SUM(M37:M41)</f>
        <v>19</v>
      </c>
      <c r="N42" s="17">
        <f t="shared" ref="N42" si="141">SUM(N37:N41)</f>
        <v>25</v>
      </c>
      <c r="O42" s="17">
        <f t="shared" ref="O42" si="142">SUM(O37:O41)</f>
        <v>49</v>
      </c>
      <c r="P42" s="17">
        <f t="shared" ref="P42" si="143">SUM(P37:P41)</f>
        <v>44</v>
      </c>
      <c r="Q42" s="17">
        <f t="shared" ref="Q42" si="144">SUM(Q37:Q41)</f>
        <v>12</v>
      </c>
      <c r="R42" s="17">
        <f t="shared" ref="R42" si="145">SUM(R37:R41)</f>
        <v>3</v>
      </c>
      <c r="S42" s="17">
        <f t="shared" ref="S42" si="146">SUM(S37:S41)</f>
        <v>5</v>
      </c>
      <c r="T42" s="17">
        <f t="shared" ref="T42" si="147">SUM(T37:T41)</f>
        <v>13</v>
      </c>
      <c r="U42" s="17">
        <f t="shared" ref="U42" si="148">SUM(U37:U41)</f>
        <v>8</v>
      </c>
      <c r="V42" s="68">
        <f t="shared" si="128"/>
        <v>0.30158730158730157</v>
      </c>
      <c r="W42" s="68">
        <f t="shared" si="129"/>
        <v>0.55555555555555558</v>
      </c>
      <c r="X42" s="68">
        <f t="shared" si="130"/>
        <v>0.33333333333333331</v>
      </c>
      <c r="Y42" s="68">
        <f t="shared" si="131"/>
        <v>0.25</v>
      </c>
      <c r="Z42" s="69">
        <f>AVERAGE(Z37:Z41)</f>
        <v>6.1999999999999993</v>
      </c>
      <c r="AA42" s="69" t="str">
        <f t="shared" si="124"/>
        <v>REG</v>
      </c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/>
      <c r="IR42" s="1"/>
      <c r="IS42" s="1"/>
      <c r="IT42" s="1"/>
      <c r="IU42" s="1"/>
      <c r="IV42" s="1"/>
      <c r="IW42" s="1"/>
      <c r="IX42" s="1"/>
      <c r="IY42" s="1"/>
      <c r="IZ42" s="1"/>
      <c r="JA42" s="1"/>
      <c r="JB42" s="1"/>
      <c r="JC42" s="1"/>
      <c r="JD42" s="1"/>
      <c r="JE42" s="1"/>
      <c r="JF42" s="1"/>
      <c r="JG42" s="1"/>
      <c r="JH42" s="1"/>
      <c r="JI42" s="1"/>
      <c r="JJ42" s="1"/>
      <c r="JK42" s="1"/>
      <c r="JL42" s="1"/>
      <c r="JM42" s="1"/>
      <c r="JN42" s="1"/>
      <c r="JO42" s="1"/>
      <c r="JP42" s="1"/>
      <c r="JQ42" s="1"/>
      <c r="JR42" s="1"/>
      <c r="JS42" s="1"/>
      <c r="JT42" s="1"/>
      <c r="JU42" s="1"/>
      <c r="JV42" s="1"/>
      <c r="JW42" s="1"/>
      <c r="JX42" s="50"/>
      <c r="JY42" s="48"/>
      <c r="JZ42" s="48"/>
      <c r="KA42" s="48"/>
      <c r="KB42" s="48"/>
      <c r="KC42" s="48"/>
      <c r="KD42" s="48"/>
      <c r="KE42" s="48"/>
      <c r="KF42" s="48"/>
      <c r="KG42" s="48"/>
      <c r="KH42" s="48"/>
      <c r="KI42" s="48"/>
      <c r="KJ42" s="48"/>
      <c r="KK42" s="48"/>
      <c r="KL42" s="48"/>
      <c r="KM42" s="48"/>
      <c r="KN42" s="48"/>
      <c r="KO42" s="48"/>
      <c r="KP42" s="46"/>
      <c r="KQ42" s="46"/>
      <c r="KR42" s="46"/>
      <c r="KS42" s="46"/>
      <c r="KT42" s="47"/>
      <c r="KU42" s="50"/>
      <c r="KV42" s="48"/>
      <c r="KW42" s="48"/>
      <c r="KX42" s="48"/>
      <c r="KY42" s="48"/>
      <c r="KZ42" s="48"/>
      <c r="LA42" s="48"/>
      <c r="LB42" s="48"/>
      <c r="LC42" s="48"/>
      <c r="LD42" s="48"/>
      <c r="LE42" s="48"/>
      <c r="LF42" s="48"/>
      <c r="LG42" s="48"/>
      <c r="LH42" s="48"/>
      <c r="LI42" s="48"/>
      <c r="LJ42" s="48"/>
      <c r="LK42" s="48"/>
      <c r="LL42" s="48"/>
      <c r="LM42" s="46"/>
      <c r="LN42" s="46"/>
      <c r="LO42" s="46"/>
      <c r="LP42" s="46"/>
      <c r="LQ42" s="47"/>
      <c r="LR42" s="50"/>
      <c r="LS42" s="48"/>
      <c r="LT42" s="48"/>
      <c r="LU42" s="48"/>
      <c r="LV42" s="48"/>
      <c r="LW42" s="48"/>
      <c r="LX42" s="48"/>
      <c r="LY42" s="48"/>
      <c r="LZ42" s="48"/>
      <c r="MA42" s="48"/>
      <c r="MB42" s="48"/>
      <c r="MC42" s="48"/>
      <c r="MD42" s="48"/>
      <c r="ME42" s="48"/>
      <c r="MF42" s="48"/>
      <c r="MG42" s="48"/>
      <c r="MH42" s="48"/>
      <c r="MI42" s="48"/>
      <c r="MJ42" s="46"/>
      <c r="MK42" s="46"/>
      <c r="ML42" s="46"/>
      <c r="MM42" s="46"/>
      <c r="MN42" s="47"/>
      <c r="MO42" s="50"/>
      <c r="MP42" s="48"/>
      <c r="MQ42" s="48"/>
      <c r="MR42" s="48"/>
      <c r="MS42" s="48"/>
      <c r="MT42" s="48"/>
      <c r="MU42" s="48"/>
      <c r="MV42" s="48"/>
      <c r="MW42" s="48"/>
      <c r="MX42" s="48"/>
      <c r="MY42" s="48"/>
      <c r="MZ42" s="48"/>
      <c r="NA42" s="48"/>
      <c r="NB42" s="48"/>
      <c r="NC42" s="48"/>
      <c r="ND42" s="48"/>
      <c r="NE42" s="48"/>
      <c r="NF42" s="48"/>
      <c r="NG42" s="46"/>
      <c r="NH42" s="46"/>
      <c r="NI42" s="46"/>
      <c r="NJ42" s="46"/>
      <c r="NK42" s="47"/>
      <c r="NL42" s="50"/>
      <c r="NM42" s="48"/>
      <c r="NN42" s="48"/>
      <c r="NO42" s="48"/>
      <c r="NP42" s="48"/>
      <c r="NQ42" s="48"/>
      <c r="NR42" s="48"/>
      <c r="NS42" s="48"/>
      <c r="NT42" s="48"/>
      <c r="NU42" s="48"/>
      <c r="NV42" s="48"/>
      <c r="NW42" s="48"/>
      <c r="NX42" s="48"/>
      <c r="NY42" s="48"/>
      <c r="NZ42" s="48"/>
      <c r="OA42" s="48"/>
      <c r="OB42" s="48"/>
      <c r="OC42" s="48"/>
      <c r="OD42" s="46"/>
      <c r="OE42" s="46"/>
      <c r="OF42" s="46"/>
      <c r="OG42" s="46"/>
      <c r="OH42" s="47"/>
      <c r="OI42" s="50"/>
      <c r="OJ42" s="48"/>
      <c r="OK42" s="48"/>
      <c r="OL42" s="48"/>
      <c r="OM42" s="48"/>
      <c r="ON42" s="48"/>
      <c r="OO42" s="48"/>
      <c r="OP42" s="48"/>
      <c r="OQ42" s="48"/>
      <c r="OR42" s="48"/>
      <c r="OS42" s="48"/>
      <c r="OT42" s="48"/>
      <c r="OU42" s="48"/>
      <c r="OV42" s="48"/>
      <c r="OW42" s="48"/>
      <c r="OX42" s="48"/>
      <c r="OY42" s="48"/>
      <c r="OZ42" s="48"/>
      <c r="PA42" s="46"/>
      <c r="PB42" s="46"/>
      <c r="PC42" s="46"/>
      <c r="PD42" s="46"/>
      <c r="PE42" s="47"/>
      <c r="PF42" s="50"/>
      <c r="PG42" s="48"/>
      <c r="PH42" s="48"/>
      <c r="PI42" s="48"/>
      <c r="PJ42" s="48"/>
      <c r="PK42" s="48"/>
      <c r="PL42" s="48"/>
      <c r="PM42" s="48"/>
      <c r="PN42" s="48"/>
      <c r="PO42" s="48"/>
      <c r="PP42" s="48"/>
      <c r="PQ42" s="48"/>
      <c r="PR42" s="48"/>
      <c r="PS42" s="48"/>
      <c r="PT42" s="48"/>
      <c r="PU42" s="48"/>
      <c r="PV42" s="48"/>
      <c r="PW42" s="48"/>
      <c r="PX42" s="46"/>
      <c r="PY42" s="46"/>
      <c r="PZ42" s="46"/>
      <c r="QA42" s="46"/>
      <c r="QB42" s="47"/>
      <c r="QC42" s="50"/>
      <c r="QD42" s="48"/>
      <c r="QE42" s="48"/>
      <c r="QF42" s="48"/>
      <c r="QG42" s="48"/>
      <c r="QH42" s="48"/>
      <c r="QI42" s="48"/>
      <c r="QJ42" s="48"/>
      <c r="QK42" s="48"/>
      <c r="QL42" s="48"/>
      <c r="QM42" s="48"/>
      <c r="QN42" s="48"/>
      <c r="QO42" s="48"/>
      <c r="QP42" s="48"/>
      <c r="QQ42" s="48"/>
      <c r="QR42" s="48"/>
      <c r="QS42" s="48"/>
      <c r="QT42" s="48"/>
      <c r="QU42" s="46"/>
      <c r="QV42" s="46"/>
      <c r="QW42" s="46"/>
      <c r="QX42" s="46"/>
      <c r="QY42" s="47"/>
      <c r="QZ42" s="1"/>
      <c r="RA42" s="1"/>
      <c r="RB42" s="1"/>
      <c r="RC42" s="1"/>
      <c r="RD42" s="1"/>
      <c r="RE42" s="1"/>
      <c r="RF42" s="1"/>
      <c r="RG42" s="1"/>
      <c r="RH42" s="1"/>
      <c r="RI42" s="1"/>
      <c r="RJ42" s="1"/>
      <c r="RK42" s="1"/>
      <c r="RL42" s="1"/>
      <c r="RM42" s="1"/>
      <c r="RN42" s="1"/>
      <c r="RO42" s="1"/>
      <c r="RP42" s="1"/>
      <c r="RQ42" s="1"/>
      <c r="RR42" s="1"/>
      <c r="RS42" s="1"/>
      <c r="RT42" s="1"/>
      <c r="RU42" s="1"/>
      <c r="RV42" s="1"/>
      <c r="RW42" s="1"/>
      <c r="RX42" s="1"/>
      <c r="RY42" s="1"/>
      <c r="RZ42" s="1"/>
      <c r="SA42" s="1"/>
      <c r="SB42" s="1"/>
      <c r="SC42" s="1"/>
      <c r="SD42" s="1"/>
      <c r="SE42" s="1"/>
      <c r="SF42" s="1"/>
      <c r="SG42" s="1"/>
      <c r="SH42" s="1"/>
      <c r="SI42" s="1"/>
      <c r="SJ42" s="1"/>
      <c r="SK42" s="1"/>
      <c r="SL42" s="1"/>
      <c r="SM42" s="1"/>
      <c r="SN42" s="1"/>
      <c r="SO42" s="1"/>
      <c r="SP42" s="1"/>
      <c r="SQ42" s="1"/>
      <c r="SR42" s="1"/>
      <c r="SS42" s="1"/>
      <c r="ST42" s="1"/>
      <c r="SU42" s="1"/>
      <c r="SV42" s="1"/>
      <c r="SW42" s="1"/>
      <c r="SX42" s="1"/>
      <c r="SY42" s="1"/>
      <c r="SZ42" s="1"/>
      <c r="TA42" s="1"/>
      <c r="TB42" s="1"/>
      <c r="TC42" s="1"/>
      <c r="TD42" s="1"/>
      <c r="TE42" s="1"/>
      <c r="TF42" s="1"/>
      <c r="TG42" s="1"/>
      <c r="TH42" s="1"/>
      <c r="TI42" s="1"/>
      <c r="TJ42" s="1"/>
      <c r="TK42" s="1"/>
      <c r="TL42" s="1"/>
      <c r="TM42" s="1"/>
      <c r="TN42" s="1"/>
      <c r="TO42" s="1"/>
      <c r="TP42" s="1"/>
      <c r="TQ42" s="1"/>
      <c r="TR42" s="1"/>
      <c r="TS42" s="1"/>
    </row>
    <row r="43" spans="1:539" ht="40" customHeight="1" x14ac:dyDescent="0.2">
      <c r="A43" s="34" t="s">
        <v>30</v>
      </c>
      <c r="B43" s="7">
        <v>7</v>
      </c>
      <c r="C43" s="7">
        <f>C41</f>
        <v>6</v>
      </c>
      <c r="D43" s="34" t="s">
        <v>36</v>
      </c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>
        <v>56</v>
      </c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 t="str">
        <f t="shared" si="124"/>
        <v>REG</v>
      </c>
    </row>
    <row r="44" spans="1:539" ht="40" customHeight="1" x14ac:dyDescent="0.2">
      <c r="A44" s="7" t="str">
        <f>A45</f>
        <v>PANTHERS 3</v>
      </c>
      <c r="B44" s="7">
        <v>7</v>
      </c>
      <c r="C44" s="7">
        <f>C39+1</f>
        <v>7</v>
      </c>
      <c r="D44" s="7" t="s">
        <v>51</v>
      </c>
      <c r="E44" s="11">
        <v>1</v>
      </c>
      <c r="F44" s="11">
        <v>1</v>
      </c>
      <c r="G44" s="11">
        <v>0</v>
      </c>
      <c r="H44" s="11">
        <v>1</v>
      </c>
      <c r="I44" s="11">
        <f>E44+G44</f>
        <v>1</v>
      </c>
      <c r="J44" s="11">
        <f>F44+H44</f>
        <v>2</v>
      </c>
      <c r="K44" s="11">
        <v>0</v>
      </c>
      <c r="L44" s="11">
        <v>0</v>
      </c>
      <c r="M44" s="11">
        <v>0</v>
      </c>
      <c r="N44" s="11">
        <v>4</v>
      </c>
      <c r="O44" s="11">
        <f>E44*2+G44*3+K44</f>
        <v>2</v>
      </c>
      <c r="P44" s="11">
        <f>M44+N44</f>
        <v>4</v>
      </c>
      <c r="Q44" s="11">
        <v>4</v>
      </c>
      <c r="R44" s="11">
        <v>0</v>
      </c>
      <c r="S44" s="11">
        <v>1</v>
      </c>
      <c r="T44" s="11">
        <v>2</v>
      </c>
      <c r="U44" s="11">
        <v>0</v>
      </c>
      <c r="V44" s="12">
        <f>IFERROR(I44/J44,0)</f>
        <v>0.5</v>
      </c>
      <c r="W44" s="12">
        <f>IFERROR(K44/L44,0)</f>
        <v>0</v>
      </c>
      <c r="X44" s="12">
        <f>IFERROR(E44/F44,0)</f>
        <v>1</v>
      </c>
      <c r="Y44" s="12">
        <f>IFERROR(G44/H44,0)</f>
        <v>0</v>
      </c>
      <c r="Z44" s="13">
        <f>(O44)+(0.4*I44)-(0.7*J44)-(0.4*(L44-K44))+(0.7*M44)+(0.3*N44)+S44+(0.7*Q44)+(0.7*R44)-(0.4*U44)-T44</f>
        <v>4</v>
      </c>
      <c r="AA44" s="21" t="s">
        <v>33</v>
      </c>
    </row>
    <row r="45" spans="1:539" ht="40" customHeight="1" x14ac:dyDescent="0.2">
      <c r="A45" s="7" t="str">
        <f>D50</f>
        <v>PANTHERS 3</v>
      </c>
      <c r="B45" s="7">
        <v>7</v>
      </c>
      <c r="C45" s="7">
        <f>C44</f>
        <v>7</v>
      </c>
      <c r="D45" s="7" t="str">
        <f>D39</f>
        <v>Lachlan Farley</v>
      </c>
      <c r="E45" s="19">
        <v>8</v>
      </c>
      <c r="F45" s="19">
        <v>20</v>
      </c>
      <c r="G45" s="19">
        <v>1</v>
      </c>
      <c r="H45" s="19">
        <v>4</v>
      </c>
      <c r="I45" s="19">
        <f>E45+G45</f>
        <v>9</v>
      </c>
      <c r="J45" s="19">
        <f>F45+H45</f>
        <v>24</v>
      </c>
      <c r="K45" s="19">
        <v>3</v>
      </c>
      <c r="L45" s="19">
        <v>5</v>
      </c>
      <c r="M45" s="19">
        <v>4</v>
      </c>
      <c r="N45" s="19">
        <v>7</v>
      </c>
      <c r="O45" s="19">
        <f>E45*2+G45*3+K45</f>
        <v>22</v>
      </c>
      <c r="P45" s="19">
        <f>M45+N45</f>
        <v>11</v>
      </c>
      <c r="Q45" s="19">
        <v>8</v>
      </c>
      <c r="R45" s="19">
        <v>0</v>
      </c>
      <c r="S45" s="19">
        <v>1</v>
      </c>
      <c r="T45" s="19">
        <v>2</v>
      </c>
      <c r="U45" s="19">
        <v>0</v>
      </c>
      <c r="V45" s="20">
        <f>IFERROR(I45/J45,0)</f>
        <v>0.375</v>
      </c>
      <c r="W45" s="20">
        <f>IFERROR(K45/L45,0)</f>
        <v>0.6</v>
      </c>
      <c r="X45" s="20">
        <f>IFERROR(E45/F45,0)</f>
        <v>0.4</v>
      </c>
      <c r="Y45" s="20">
        <f>IFERROR(G45/H45,0)</f>
        <v>0.25</v>
      </c>
      <c r="Z45" s="21">
        <f>(O45)+(0.4*I45)-(0.7*J45)-(0.4*(L45-K45))+(0.7*M45)+(0.3*N45)+S45+(0.7*Q45)+(0.7*R45)-(0.4*U45)-T45</f>
        <v>17.500000000000004</v>
      </c>
      <c r="AA45" s="24" t="str">
        <f>AA44</f>
        <v>REG</v>
      </c>
    </row>
    <row r="46" spans="1:539" ht="40" customHeight="1" x14ac:dyDescent="0.2">
      <c r="A46" s="7" t="str">
        <f>A45</f>
        <v>PANTHERS 3</v>
      </c>
      <c r="B46" s="7">
        <v>7</v>
      </c>
      <c r="C46" s="7">
        <f>C45</f>
        <v>7</v>
      </c>
      <c r="D46" s="7" t="str">
        <f>D31</f>
        <v>Josh Huxtable</v>
      </c>
      <c r="E46" s="22">
        <v>4</v>
      </c>
      <c r="F46" s="22">
        <v>8</v>
      </c>
      <c r="G46" s="22">
        <v>0</v>
      </c>
      <c r="H46" s="22">
        <v>4</v>
      </c>
      <c r="I46" s="22">
        <f t="shared" ref="I46:J48" si="149">E46+G46</f>
        <v>4</v>
      </c>
      <c r="J46" s="22">
        <f t="shared" si="149"/>
        <v>12</v>
      </c>
      <c r="K46" s="22">
        <v>3</v>
      </c>
      <c r="L46" s="22">
        <v>6</v>
      </c>
      <c r="M46" s="22">
        <v>5</v>
      </c>
      <c r="N46" s="22">
        <v>5</v>
      </c>
      <c r="O46" s="22">
        <f t="shared" ref="O46:O48" si="150">E46*2+G46*3+K46</f>
        <v>11</v>
      </c>
      <c r="P46" s="22">
        <f t="shared" ref="P46:P48" si="151">M46+N46</f>
        <v>10</v>
      </c>
      <c r="Q46" s="22">
        <v>6</v>
      </c>
      <c r="R46" s="22">
        <v>0</v>
      </c>
      <c r="S46" s="22">
        <v>0</v>
      </c>
      <c r="T46" s="22">
        <v>1</v>
      </c>
      <c r="U46" s="22">
        <v>0</v>
      </c>
      <c r="V46" s="23">
        <f t="shared" ref="V46:V49" si="152">IFERROR(I46/J46,0)</f>
        <v>0.33333333333333331</v>
      </c>
      <c r="W46" s="23">
        <f t="shared" ref="W46:W49" si="153">IFERROR(K46/L46,0)</f>
        <v>0.5</v>
      </c>
      <c r="X46" s="23">
        <f t="shared" ref="X46:X49" si="154">IFERROR(E46/F46,0)</f>
        <v>0.5</v>
      </c>
      <c r="Y46" s="23">
        <f t="shared" ref="Y46:Y49" si="155">IFERROR(G46/H46,0)</f>
        <v>0</v>
      </c>
      <c r="Z46" s="24">
        <f t="shared" ref="Z46:Z48" si="156">(O46)+(0.4*I46)-(0.7*J46)-(0.4*(L46-K46))+(0.7*M46)+(0.3*N46)+S46+(0.7*Q46)+(0.7*R46)-(0.4*U46)-T46</f>
        <v>11.2</v>
      </c>
      <c r="AA46" s="27" t="str">
        <f t="shared" ref="AA46:AA57" si="157">AA45</f>
        <v>REG</v>
      </c>
    </row>
    <row r="47" spans="1:539" ht="40" customHeight="1" x14ac:dyDescent="0.2">
      <c r="A47" s="7" t="str">
        <f t="shared" ref="A47" si="158">A46</f>
        <v>PANTHERS 3</v>
      </c>
      <c r="B47" s="7">
        <v>7</v>
      </c>
      <c r="C47" s="7">
        <f t="shared" ref="C47" si="159">C46</f>
        <v>7</v>
      </c>
      <c r="D47" s="7" t="str">
        <f>D40</f>
        <v>Darcy Bishop</v>
      </c>
      <c r="E47" s="25">
        <v>5</v>
      </c>
      <c r="F47" s="25">
        <v>11</v>
      </c>
      <c r="G47" s="25">
        <v>1</v>
      </c>
      <c r="H47" s="25">
        <v>4</v>
      </c>
      <c r="I47" s="25">
        <f t="shared" si="149"/>
        <v>6</v>
      </c>
      <c r="J47" s="25">
        <f t="shared" si="149"/>
        <v>15</v>
      </c>
      <c r="K47" s="25">
        <v>0</v>
      </c>
      <c r="L47" s="25">
        <v>0</v>
      </c>
      <c r="M47" s="25">
        <v>1</v>
      </c>
      <c r="N47" s="25">
        <v>2</v>
      </c>
      <c r="O47" s="25">
        <f t="shared" si="150"/>
        <v>13</v>
      </c>
      <c r="P47" s="25">
        <f t="shared" si="151"/>
        <v>3</v>
      </c>
      <c r="Q47" s="25">
        <v>4</v>
      </c>
      <c r="R47" s="25">
        <v>0</v>
      </c>
      <c r="S47" s="25">
        <v>0</v>
      </c>
      <c r="T47" s="25">
        <v>0</v>
      </c>
      <c r="U47" s="25">
        <v>0</v>
      </c>
      <c r="V47" s="26">
        <f t="shared" si="152"/>
        <v>0.4</v>
      </c>
      <c r="W47" s="26">
        <f t="shared" si="153"/>
        <v>0</v>
      </c>
      <c r="X47" s="26">
        <f t="shared" si="154"/>
        <v>0.45454545454545453</v>
      </c>
      <c r="Y47" s="26">
        <f t="shared" si="155"/>
        <v>0.25</v>
      </c>
      <c r="Z47" s="27">
        <f t="shared" si="156"/>
        <v>9</v>
      </c>
      <c r="AA47" s="30" t="str">
        <f t="shared" si="157"/>
        <v>REG</v>
      </c>
    </row>
    <row r="48" spans="1:539" ht="40" customHeight="1" x14ac:dyDescent="0.2">
      <c r="A48" s="7" t="str">
        <f>A47</f>
        <v>PANTHERS 3</v>
      </c>
      <c r="B48" s="7">
        <v>7</v>
      </c>
      <c r="C48" s="7">
        <f>C45</f>
        <v>7</v>
      </c>
      <c r="D48" s="7" t="str">
        <f>D41</f>
        <v>Adam Blain</v>
      </c>
      <c r="E48" s="31">
        <v>10</v>
      </c>
      <c r="F48" s="31">
        <v>17</v>
      </c>
      <c r="G48" s="31">
        <v>1</v>
      </c>
      <c r="H48" s="31">
        <v>4</v>
      </c>
      <c r="I48" s="31">
        <f t="shared" si="149"/>
        <v>11</v>
      </c>
      <c r="J48" s="31">
        <f t="shared" si="149"/>
        <v>21</v>
      </c>
      <c r="K48" s="31">
        <v>0</v>
      </c>
      <c r="L48" s="31">
        <v>0</v>
      </c>
      <c r="M48" s="31">
        <v>7</v>
      </c>
      <c r="N48" s="31">
        <v>10</v>
      </c>
      <c r="O48" s="31">
        <f t="shared" si="150"/>
        <v>23</v>
      </c>
      <c r="P48" s="31">
        <f t="shared" si="151"/>
        <v>17</v>
      </c>
      <c r="Q48" s="31">
        <v>1</v>
      </c>
      <c r="R48" s="31">
        <v>2</v>
      </c>
      <c r="S48" s="31">
        <v>3</v>
      </c>
      <c r="T48" s="31">
        <v>1</v>
      </c>
      <c r="U48" s="31">
        <v>0</v>
      </c>
      <c r="V48" s="32">
        <f t="shared" si="152"/>
        <v>0.52380952380952384</v>
      </c>
      <c r="W48" s="32">
        <f t="shared" si="153"/>
        <v>0</v>
      </c>
      <c r="X48" s="32">
        <f t="shared" si="154"/>
        <v>0.58823529411764708</v>
      </c>
      <c r="Y48" s="32">
        <f t="shared" si="155"/>
        <v>0.25</v>
      </c>
      <c r="Z48" s="33">
        <f t="shared" si="156"/>
        <v>24.699999999999996</v>
      </c>
      <c r="AA48" s="33" t="str">
        <f t="shared" si="157"/>
        <v>REG</v>
      </c>
    </row>
    <row r="49" spans="1:539" s="67" customFormat="1" ht="40" customHeight="1" x14ac:dyDescent="0.2">
      <c r="A49" s="66" t="str">
        <f>A48</f>
        <v>PANTHERS 3</v>
      </c>
      <c r="B49" s="7">
        <f>B48</f>
        <v>7</v>
      </c>
      <c r="C49" s="7">
        <f>C48</f>
        <v>7</v>
      </c>
      <c r="D49" s="66" t="s">
        <v>31</v>
      </c>
      <c r="E49" s="17">
        <f>SUM(E44:E48)</f>
        <v>28</v>
      </c>
      <c r="F49" s="17">
        <f t="shared" ref="F49" si="160">SUM(F44:F48)</f>
        <v>57</v>
      </c>
      <c r="G49" s="17">
        <f t="shared" ref="G49" si="161">SUM(G44:G48)</f>
        <v>3</v>
      </c>
      <c r="H49" s="17">
        <f t="shared" ref="H49" si="162">SUM(H44:H48)</f>
        <v>17</v>
      </c>
      <c r="I49" s="17">
        <f t="shared" ref="I49" si="163">SUM(I44:I48)</f>
        <v>31</v>
      </c>
      <c r="J49" s="17">
        <f t="shared" ref="J49" si="164">SUM(J44:J48)</f>
        <v>74</v>
      </c>
      <c r="K49" s="17">
        <f t="shared" ref="K49" si="165">SUM(K44:K48)</f>
        <v>6</v>
      </c>
      <c r="L49" s="17">
        <f t="shared" ref="L49" si="166">SUM(L44:L48)</f>
        <v>11</v>
      </c>
      <c r="M49" s="17">
        <f t="shared" ref="M49" si="167">SUM(M44:M48)</f>
        <v>17</v>
      </c>
      <c r="N49" s="17">
        <f t="shared" ref="N49" si="168">SUM(N44:N48)</f>
        <v>28</v>
      </c>
      <c r="O49" s="17">
        <f t="shared" ref="O49" si="169">SUM(O44:O48)</f>
        <v>71</v>
      </c>
      <c r="P49" s="17">
        <f t="shared" ref="P49" si="170">SUM(P44:P48)</f>
        <v>45</v>
      </c>
      <c r="Q49" s="17">
        <f t="shared" ref="Q49" si="171">SUM(Q44:Q48)</f>
        <v>23</v>
      </c>
      <c r="R49" s="17">
        <f t="shared" ref="R49" si="172">SUM(R44:R48)</f>
        <v>2</v>
      </c>
      <c r="S49" s="17">
        <f t="shared" ref="S49" si="173">SUM(S44:S48)</f>
        <v>5</v>
      </c>
      <c r="T49" s="17">
        <f t="shared" ref="T49" si="174">SUM(T44:T48)</f>
        <v>6</v>
      </c>
      <c r="U49" s="17">
        <f t="shared" ref="U49" si="175">SUM(U44:U48)</f>
        <v>0</v>
      </c>
      <c r="V49" s="68">
        <f t="shared" si="152"/>
        <v>0.41891891891891891</v>
      </c>
      <c r="W49" s="68">
        <f t="shared" si="153"/>
        <v>0.54545454545454541</v>
      </c>
      <c r="X49" s="68">
        <f t="shared" si="154"/>
        <v>0.49122807017543857</v>
      </c>
      <c r="Y49" s="68">
        <f t="shared" si="155"/>
        <v>0.17647058823529413</v>
      </c>
      <c r="Z49" s="69">
        <f>AVERAGE(Z44:Z48)</f>
        <v>13.280000000000001</v>
      </c>
      <c r="AA49" s="69" t="str">
        <f t="shared" si="157"/>
        <v>REG</v>
      </c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/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1"/>
      <c r="II49" s="1"/>
      <c r="IJ49" s="1"/>
      <c r="IK49" s="1"/>
      <c r="IL49" s="1"/>
      <c r="IM49" s="1"/>
      <c r="IN49" s="1"/>
      <c r="IO49" s="1"/>
      <c r="IP49" s="1"/>
      <c r="IQ49" s="1"/>
      <c r="IR49" s="1"/>
      <c r="IS49" s="1"/>
      <c r="IT49" s="1"/>
      <c r="IU49" s="1"/>
      <c r="IV49" s="1"/>
      <c r="IW49" s="1"/>
      <c r="IX49" s="1"/>
      <c r="IY49" s="1"/>
      <c r="IZ49" s="1"/>
      <c r="JA49" s="1"/>
      <c r="JB49" s="1"/>
      <c r="JC49" s="1"/>
      <c r="JD49" s="1"/>
      <c r="JE49" s="1"/>
      <c r="JF49" s="1"/>
      <c r="JG49" s="1"/>
      <c r="JH49" s="1"/>
      <c r="JI49" s="1"/>
      <c r="JJ49" s="1"/>
      <c r="JK49" s="1"/>
      <c r="JL49" s="1"/>
      <c r="JM49" s="1"/>
      <c r="JN49" s="1"/>
      <c r="JO49" s="1"/>
      <c r="JP49" s="1"/>
      <c r="JQ49" s="1"/>
      <c r="JR49" s="1"/>
      <c r="JS49" s="1"/>
      <c r="JT49" s="1"/>
      <c r="JU49" s="1"/>
      <c r="JV49" s="1"/>
      <c r="JW49" s="1"/>
      <c r="JX49" s="50"/>
      <c r="JY49" s="48"/>
      <c r="JZ49" s="48"/>
      <c r="KA49" s="48"/>
      <c r="KB49" s="48"/>
      <c r="KC49" s="48"/>
      <c r="KD49" s="48"/>
      <c r="KE49" s="48"/>
      <c r="KF49" s="48"/>
      <c r="KG49" s="48"/>
      <c r="KH49" s="48"/>
      <c r="KI49" s="48"/>
      <c r="KJ49" s="48"/>
      <c r="KK49" s="48"/>
      <c r="KL49" s="48"/>
      <c r="KM49" s="48"/>
      <c r="KN49" s="48"/>
      <c r="KO49" s="48"/>
      <c r="KP49" s="46"/>
      <c r="KQ49" s="46"/>
      <c r="KR49" s="46"/>
      <c r="KS49" s="46"/>
      <c r="KT49" s="47"/>
      <c r="KU49" s="50"/>
      <c r="KV49" s="48"/>
      <c r="KW49" s="48"/>
      <c r="KX49" s="48"/>
      <c r="KY49" s="48"/>
      <c r="KZ49" s="48"/>
      <c r="LA49" s="48"/>
      <c r="LB49" s="48"/>
      <c r="LC49" s="48"/>
      <c r="LD49" s="48"/>
      <c r="LE49" s="48"/>
      <c r="LF49" s="48"/>
      <c r="LG49" s="48"/>
      <c r="LH49" s="48"/>
      <c r="LI49" s="48"/>
      <c r="LJ49" s="48"/>
      <c r="LK49" s="48"/>
      <c r="LL49" s="48"/>
      <c r="LM49" s="46"/>
      <c r="LN49" s="46"/>
      <c r="LO49" s="46"/>
      <c r="LP49" s="46"/>
      <c r="LQ49" s="47"/>
      <c r="LR49" s="50"/>
      <c r="LS49" s="48"/>
      <c r="LT49" s="48"/>
      <c r="LU49" s="48"/>
      <c r="LV49" s="48"/>
      <c r="LW49" s="48"/>
      <c r="LX49" s="48"/>
      <c r="LY49" s="48"/>
      <c r="LZ49" s="48"/>
      <c r="MA49" s="48"/>
      <c r="MB49" s="48"/>
      <c r="MC49" s="48"/>
      <c r="MD49" s="48"/>
      <c r="ME49" s="48"/>
      <c r="MF49" s="48"/>
      <c r="MG49" s="48"/>
      <c r="MH49" s="48"/>
      <c r="MI49" s="48"/>
      <c r="MJ49" s="46"/>
      <c r="MK49" s="46"/>
      <c r="ML49" s="46"/>
      <c r="MM49" s="46"/>
      <c r="MN49" s="47"/>
      <c r="MO49" s="50"/>
      <c r="MP49" s="48"/>
      <c r="MQ49" s="48"/>
      <c r="MR49" s="48"/>
      <c r="MS49" s="48"/>
      <c r="MT49" s="48"/>
      <c r="MU49" s="48"/>
      <c r="MV49" s="48"/>
      <c r="MW49" s="48"/>
      <c r="MX49" s="48"/>
      <c r="MY49" s="48"/>
      <c r="MZ49" s="48"/>
      <c r="NA49" s="48"/>
      <c r="NB49" s="48"/>
      <c r="NC49" s="48"/>
      <c r="ND49" s="48"/>
      <c r="NE49" s="48"/>
      <c r="NF49" s="48"/>
      <c r="NG49" s="46"/>
      <c r="NH49" s="46"/>
      <c r="NI49" s="46"/>
      <c r="NJ49" s="46"/>
      <c r="NK49" s="47"/>
      <c r="NL49" s="50"/>
      <c r="NM49" s="48"/>
      <c r="NN49" s="48"/>
      <c r="NO49" s="48"/>
      <c r="NP49" s="48"/>
      <c r="NQ49" s="48"/>
      <c r="NR49" s="48"/>
      <c r="NS49" s="48"/>
      <c r="NT49" s="48"/>
      <c r="NU49" s="48"/>
      <c r="NV49" s="48"/>
      <c r="NW49" s="48"/>
      <c r="NX49" s="48"/>
      <c r="NY49" s="48"/>
      <c r="NZ49" s="48"/>
      <c r="OA49" s="48"/>
      <c r="OB49" s="48"/>
      <c r="OC49" s="48"/>
      <c r="OD49" s="46"/>
      <c r="OE49" s="46"/>
      <c r="OF49" s="46"/>
      <c r="OG49" s="46"/>
      <c r="OH49" s="47"/>
      <c r="OI49" s="50"/>
      <c r="OJ49" s="48"/>
      <c r="OK49" s="48"/>
      <c r="OL49" s="48"/>
      <c r="OM49" s="48"/>
      <c r="ON49" s="48"/>
      <c r="OO49" s="48"/>
      <c r="OP49" s="48"/>
      <c r="OQ49" s="48"/>
      <c r="OR49" s="48"/>
      <c r="OS49" s="48"/>
      <c r="OT49" s="48"/>
      <c r="OU49" s="48"/>
      <c r="OV49" s="48"/>
      <c r="OW49" s="48"/>
      <c r="OX49" s="48"/>
      <c r="OY49" s="48"/>
      <c r="OZ49" s="48"/>
      <c r="PA49" s="46"/>
      <c r="PB49" s="46"/>
      <c r="PC49" s="46"/>
      <c r="PD49" s="46"/>
      <c r="PE49" s="47"/>
      <c r="PF49" s="50"/>
      <c r="PG49" s="48"/>
      <c r="PH49" s="48"/>
      <c r="PI49" s="48"/>
      <c r="PJ49" s="48"/>
      <c r="PK49" s="48"/>
      <c r="PL49" s="48"/>
      <c r="PM49" s="48"/>
      <c r="PN49" s="48"/>
      <c r="PO49" s="48"/>
      <c r="PP49" s="48"/>
      <c r="PQ49" s="48"/>
      <c r="PR49" s="48"/>
      <c r="PS49" s="48"/>
      <c r="PT49" s="48"/>
      <c r="PU49" s="48"/>
      <c r="PV49" s="48"/>
      <c r="PW49" s="48"/>
      <c r="PX49" s="46"/>
      <c r="PY49" s="46"/>
      <c r="PZ49" s="46"/>
      <c r="QA49" s="46"/>
      <c r="QB49" s="47"/>
      <c r="QC49" s="50"/>
      <c r="QD49" s="48"/>
      <c r="QE49" s="48"/>
      <c r="QF49" s="48"/>
      <c r="QG49" s="48"/>
      <c r="QH49" s="48"/>
      <c r="QI49" s="48"/>
      <c r="QJ49" s="48"/>
      <c r="QK49" s="48"/>
      <c r="QL49" s="48"/>
      <c r="QM49" s="48"/>
      <c r="QN49" s="48"/>
      <c r="QO49" s="48"/>
      <c r="QP49" s="48"/>
      <c r="QQ49" s="48"/>
      <c r="QR49" s="48"/>
      <c r="QS49" s="48"/>
      <c r="QT49" s="48"/>
      <c r="QU49" s="46"/>
      <c r="QV49" s="46"/>
      <c r="QW49" s="46"/>
      <c r="QX49" s="46"/>
      <c r="QY49" s="47"/>
      <c r="QZ49" s="1"/>
      <c r="RA49" s="1"/>
      <c r="RB49" s="1"/>
      <c r="RC49" s="1"/>
      <c r="RD49" s="1"/>
      <c r="RE49" s="1"/>
      <c r="RF49" s="1"/>
      <c r="RG49" s="1"/>
      <c r="RH49" s="1"/>
      <c r="RI49" s="1"/>
      <c r="RJ49" s="1"/>
      <c r="RK49" s="1"/>
      <c r="RL49" s="1"/>
      <c r="RM49" s="1"/>
      <c r="RN49" s="1"/>
      <c r="RO49" s="1"/>
      <c r="RP49" s="1"/>
      <c r="RQ49" s="1"/>
      <c r="RR49" s="1"/>
      <c r="RS49" s="1"/>
      <c r="RT49" s="1"/>
      <c r="RU49" s="1"/>
      <c r="RV49" s="1"/>
      <c r="RW49" s="1"/>
      <c r="RX49" s="1"/>
      <c r="RY49" s="1"/>
      <c r="RZ49" s="1"/>
      <c r="SA49" s="1"/>
      <c r="SB49" s="1"/>
      <c r="SC49" s="1"/>
      <c r="SD49" s="1"/>
      <c r="SE49" s="1"/>
      <c r="SF49" s="1"/>
      <c r="SG49" s="1"/>
      <c r="SH49" s="1"/>
      <c r="SI49" s="1"/>
      <c r="SJ49" s="1"/>
      <c r="SK49" s="1"/>
      <c r="SL49" s="1"/>
      <c r="SM49" s="1"/>
      <c r="SN49" s="1"/>
      <c r="SO49" s="1"/>
      <c r="SP49" s="1"/>
      <c r="SQ49" s="1"/>
      <c r="SR49" s="1"/>
      <c r="SS49" s="1"/>
      <c r="ST49" s="1"/>
      <c r="SU49" s="1"/>
      <c r="SV49" s="1"/>
      <c r="SW49" s="1"/>
      <c r="SX49" s="1"/>
      <c r="SY49" s="1"/>
      <c r="SZ49" s="1"/>
      <c r="TA49" s="1"/>
      <c r="TB49" s="1"/>
      <c r="TC49" s="1"/>
      <c r="TD49" s="1"/>
      <c r="TE49" s="1"/>
      <c r="TF49" s="1"/>
      <c r="TG49" s="1"/>
      <c r="TH49" s="1"/>
      <c r="TI49" s="1"/>
      <c r="TJ49" s="1"/>
      <c r="TK49" s="1"/>
      <c r="TL49" s="1"/>
      <c r="TM49" s="1"/>
      <c r="TN49" s="1"/>
      <c r="TO49" s="1"/>
      <c r="TP49" s="1"/>
      <c r="TQ49" s="1"/>
      <c r="TR49" s="1"/>
      <c r="TS49" s="1"/>
    </row>
    <row r="50" spans="1:539" ht="40" customHeight="1" x14ac:dyDescent="0.2">
      <c r="A50" s="34" t="s">
        <v>30</v>
      </c>
      <c r="B50" s="7">
        <v>7</v>
      </c>
      <c r="C50" s="7">
        <f>C46</f>
        <v>7</v>
      </c>
      <c r="D50" s="34" t="s">
        <v>37</v>
      </c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>
        <v>65</v>
      </c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 t="str">
        <f t="shared" si="157"/>
        <v>REG</v>
      </c>
    </row>
    <row r="51" spans="1:539" ht="39.75" customHeight="1" x14ac:dyDescent="0.2">
      <c r="A51" s="7" t="str">
        <f>A52</f>
        <v>MAGIC 2</v>
      </c>
      <c r="B51" s="7">
        <v>7</v>
      </c>
      <c r="C51" s="7">
        <f>C45+1</f>
        <v>8</v>
      </c>
      <c r="D51" s="7" t="s">
        <v>51</v>
      </c>
      <c r="E51" s="11">
        <v>0</v>
      </c>
      <c r="F51" s="11">
        <v>1</v>
      </c>
      <c r="G51" s="11">
        <v>0</v>
      </c>
      <c r="H51" s="11">
        <v>1</v>
      </c>
      <c r="I51" s="11">
        <f>E51+G51</f>
        <v>0</v>
      </c>
      <c r="J51" s="11">
        <f>F51+H51</f>
        <v>2</v>
      </c>
      <c r="K51" s="11">
        <v>0</v>
      </c>
      <c r="L51" s="11">
        <v>0</v>
      </c>
      <c r="M51" s="11">
        <v>1</v>
      </c>
      <c r="N51" s="11">
        <v>4</v>
      </c>
      <c r="O51" s="11">
        <f>E51*2+G51*3+K51</f>
        <v>0</v>
      </c>
      <c r="P51" s="11">
        <f>M51+N51</f>
        <v>5</v>
      </c>
      <c r="Q51" s="11">
        <v>0</v>
      </c>
      <c r="R51" s="11">
        <v>0</v>
      </c>
      <c r="S51" s="11">
        <v>2</v>
      </c>
      <c r="T51" s="11">
        <v>2</v>
      </c>
      <c r="U51" s="11">
        <v>3</v>
      </c>
      <c r="V51" s="12">
        <f>IFERROR(I51/J51,0)</f>
        <v>0</v>
      </c>
      <c r="W51" s="12">
        <f>IFERROR(K51/L51,0)</f>
        <v>0</v>
      </c>
      <c r="X51" s="12">
        <f>IFERROR(E51/F51,0)</f>
        <v>0</v>
      </c>
      <c r="Y51" s="12">
        <f>IFERROR(G51/H51,0)</f>
        <v>0</v>
      </c>
      <c r="Z51" s="13">
        <f>(O51)+(0.4*I51)-(0.7*J51)-(0.4*(L51-K51))+(0.7*M51)+(0.3*N51)+S51+(0.7*Q51)+(0.7*R51)-(0.4*U51)-T51</f>
        <v>-0.70000000000000018</v>
      </c>
      <c r="AA51" s="21" t="s">
        <v>33</v>
      </c>
    </row>
    <row r="52" spans="1:539" ht="40" customHeight="1" x14ac:dyDescent="0.2">
      <c r="A52" s="7" t="str">
        <f>D57</f>
        <v>MAGIC 2</v>
      </c>
      <c r="B52" s="7">
        <v>7</v>
      </c>
      <c r="C52" s="7">
        <f>C46+1</f>
        <v>8</v>
      </c>
      <c r="D52" s="7" t="str">
        <f>D45</f>
        <v>Lachlan Farley</v>
      </c>
      <c r="E52" s="19">
        <v>9</v>
      </c>
      <c r="F52" s="19">
        <v>14</v>
      </c>
      <c r="G52" s="19">
        <v>4</v>
      </c>
      <c r="H52" s="19">
        <v>11</v>
      </c>
      <c r="I52" s="19">
        <f>E52+G52</f>
        <v>13</v>
      </c>
      <c r="J52" s="19">
        <f>F52+H52</f>
        <v>25</v>
      </c>
      <c r="K52" s="19">
        <v>1</v>
      </c>
      <c r="L52" s="19">
        <v>3</v>
      </c>
      <c r="M52" s="19">
        <v>2</v>
      </c>
      <c r="N52" s="19">
        <v>12</v>
      </c>
      <c r="O52" s="19">
        <f>E52*2+G52*3+K52</f>
        <v>31</v>
      </c>
      <c r="P52" s="19">
        <f>M52+N52</f>
        <v>14</v>
      </c>
      <c r="Q52" s="19">
        <v>3</v>
      </c>
      <c r="R52" s="19">
        <v>1</v>
      </c>
      <c r="S52" s="19">
        <v>0</v>
      </c>
      <c r="T52" s="19">
        <v>4</v>
      </c>
      <c r="U52" s="19">
        <v>2</v>
      </c>
      <c r="V52" s="20">
        <f>IFERROR(I52/J52,0)</f>
        <v>0.52</v>
      </c>
      <c r="W52" s="20">
        <f>IFERROR(K52/L52,0)</f>
        <v>0.33333333333333331</v>
      </c>
      <c r="X52" s="20">
        <f>IFERROR(E52/F52,0)</f>
        <v>0.6428571428571429</v>
      </c>
      <c r="Y52" s="20">
        <f>IFERROR(G52/H52,0)</f>
        <v>0.36363636363636365</v>
      </c>
      <c r="Z52" s="21">
        <f>(O52)+(0.4*I52)-(0.7*J52)-(0.4*(L52-K52))+(0.7*M52)+(0.3*N52)+S52+(0.7*Q52)+(0.7*R52)-(0.4*U52)-T52</f>
        <v>20.9</v>
      </c>
      <c r="AA52" s="24" t="str">
        <f>AA51</f>
        <v>REG</v>
      </c>
    </row>
    <row r="53" spans="1:539" ht="40" customHeight="1" x14ac:dyDescent="0.2">
      <c r="A53" s="7" t="str">
        <f>A52</f>
        <v>MAGIC 2</v>
      </c>
      <c r="B53" s="7">
        <v>7</v>
      </c>
      <c r="C53" s="7">
        <f>C52</f>
        <v>8</v>
      </c>
      <c r="D53" s="7" t="str">
        <f>D46</f>
        <v>Josh Huxtable</v>
      </c>
      <c r="E53" s="22">
        <v>4</v>
      </c>
      <c r="F53" s="22">
        <v>7</v>
      </c>
      <c r="G53" s="22">
        <v>1</v>
      </c>
      <c r="H53" s="22">
        <v>3</v>
      </c>
      <c r="I53" s="22">
        <f t="shared" ref="I53:J55" si="176">E53+G53</f>
        <v>5</v>
      </c>
      <c r="J53" s="22">
        <f t="shared" si="176"/>
        <v>10</v>
      </c>
      <c r="K53" s="22">
        <v>1</v>
      </c>
      <c r="L53" s="22">
        <v>1</v>
      </c>
      <c r="M53" s="22">
        <v>4</v>
      </c>
      <c r="N53" s="22">
        <v>2</v>
      </c>
      <c r="O53" s="22">
        <f t="shared" ref="O53:O55" si="177">E53*2+G53*3+K53</f>
        <v>12</v>
      </c>
      <c r="P53" s="22">
        <f t="shared" ref="P53:P55" si="178">M53+N53</f>
        <v>6</v>
      </c>
      <c r="Q53" s="22">
        <v>4</v>
      </c>
      <c r="R53" s="22">
        <v>0</v>
      </c>
      <c r="S53" s="22">
        <v>0</v>
      </c>
      <c r="T53" s="22">
        <v>3</v>
      </c>
      <c r="U53" s="22">
        <v>0</v>
      </c>
      <c r="V53" s="23">
        <f t="shared" ref="V53:V56" si="179">IFERROR(I53/J53,0)</f>
        <v>0.5</v>
      </c>
      <c r="W53" s="23">
        <f t="shared" ref="W53:W56" si="180">IFERROR(K53/L53,0)</f>
        <v>1</v>
      </c>
      <c r="X53" s="23">
        <f t="shared" ref="X53:X56" si="181">IFERROR(E53/F53,0)</f>
        <v>0.5714285714285714</v>
      </c>
      <c r="Y53" s="23">
        <f t="shared" ref="Y53:Y56" si="182">IFERROR(G53/H53,0)</f>
        <v>0.33333333333333331</v>
      </c>
      <c r="Z53" s="24">
        <f t="shared" ref="Z53:Z55" si="183">(O53)+(0.4*I53)-(0.7*J53)-(0.4*(L53-K53))+(0.7*M53)+(0.3*N53)+S53+(0.7*Q53)+(0.7*R53)-(0.4*U53)-T53</f>
        <v>10.199999999999999</v>
      </c>
      <c r="AA53" s="27" t="str">
        <f t="shared" si="157"/>
        <v>REG</v>
      </c>
    </row>
    <row r="54" spans="1:539" ht="40" customHeight="1" x14ac:dyDescent="0.2">
      <c r="A54" s="7" t="str">
        <f t="shared" ref="A54" si="184">A53</f>
        <v>MAGIC 2</v>
      </c>
      <c r="B54" s="7">
        <v>7</v>
      </c>
      <c r="C54" s="7">
        <f t="shared" ref="C54" si="185">C53</f>
        <v>8</v>
      </c>
      <c r="D54" s="7" t="str">
        <f>D47</f>
        <v>Darcy Bishop</v>
      </c>
      <c r="E54" s="25">
        <v>0</v>
      </c>
      <c r="F54" s="25">
        <v>4</v>
      </c>
      <c r="G54" s="25">
        <v>1</v>
      </c>
      <c r="H54" s="25">
        <v>4</v>
      </c>
      <c r="I54" s="25">
        <f t="shared" si="176"/>
        <v>1</v>
      </c>
      <c r="J54" s="25">
        <f t="shared" si="176"/>
        <v>8</v>
      </c>
      <c r="K54" s="25">
        <v>2</v>
      </c>
      <c r="L54" s="25">
        <v>2</v>
      </c>
      <c r="M54" s="25">
        <v>1</v>
      </c>
      <c r="N54" s="25">
        <v>7</v>
      </c>
      <c r="O54" s="25">
        <f t="shared" si="177"/>
        <v>5</v>
      </c>
      <c r="P54" s="25">
        <f t="shared" si="178"/>
        <v>8</v>
      </c>
      <c r="Q54" s="25">
        <v>6</v>
      </c>
      <c r="R54" s="25">
        <v>0</v>
      </c>
      <c r="S54" s="25">
        <v>0</v>
      </c>
      <c r="T54" s="25">
        <v>4</v>
      </c>
      <c r="U54" s="25">
        <v>1</v>
      </c>
      <c r="V54" s="26">
        <f t="shared" si="179"/>
        <v>0.125</v>
      </c>
      <c r="W54" s="26">
        <f t="shared" si="180"/>
        <v>1</v>
      </c>
      <c r="X54" s="26">
        <f t="shared" si="181"/>
        <v>0</v>
      </c>
      <c r="Y54" s="26">
        <f t="shared" si="182"/>
        <v>0.25</v>
      </c>
      <c r="Z54" s="27">
        <f t="shared" si="183"/>
        <v>2.3999999999999995</v>
      </c>
      <c r="AA54" s="30" t="str">
        <f t="shared" si="157"/>
        <v>REG</v>
      </c>
    </row>
    <row r="55" spans="1:539" ht="40" customHeight="1" x14ac:dyDescent="0.2">
      <c r="A55" s="7" t="str">
        <f>A54</f>
        <v>MAGIC 2</v>
      </c>
      <c r="B55" s="7">
        <v>7</v>
      </c>
      <c r="C55" s="7">
        <f>C54</f>
        <v>8</v>
      </c>
      <c r="D55" s="7" t="str">
        <f>D48</f>
        <v>Adam Blain</v>
      </c>
      <c r="E55" s="31">
        <v>8</v>
      </c>
      <c r="F55" s="31">
        <v>16</v>
      </c>
      <c r="G55" s="31">
        <v>0</v>
      </c>
      <c r="H55" s="31">
        <v>6</v>
      </c>
      <c r="I55" s="31">
        <f t="shared" si="176"/>
        <v>8</v>
      </c>
      <c r="J55" s="31">
        <f t="shared" si="176"/>
        <v>22</v>
      </c>
      <c r="K55" s="31">
        <v>0</v>
      </c>
      <c r="L55" s="31">
        <v>2</v>
      </c>
      <c r="M55" s="31">
        <v>4</v>
      </c>
      <c r="N55" s="31">
        <v>10</v>
      </c>
      <c r="O55" s="31">
        <f t="shared" si="177"/>
        <v>16</v>
      </c>
      <c r="P55" s="31">
        <f t="shared" si="178"/>
        <v>14</v>
      </c>
      <c r="Q55" s="31">
        <v>3</v>
      </c>
      <c r="R55" s="31">
        <v>0</v>
      </c>
      <c r="S55" s="31">
        <v>2</v>
      </c>
      <c r="T55" s="31">
        <v>2</v>
      </c>
      <c r="U55" s="31">
        <v>2</v>
      </c>
      <c r="V55" s="32">
        <f t="shared" si="179"/>
        <v>0.36363636363636365</v>
      </c>
      <c r="W55" s="32">
        <f t="shared" si="180"/>
        <v>0</v>
      </c>
      <c r="X55" s="32">
        <f t="shared" si="181"/>
        <v>0.5</v>
      </c>
      <c r="Y55" s="32">
        <f t="shared" si="182"/>
        <v>0</v>
      </c>
      <c r="Z55" s="33">
        <f t="shared" si="183"/>
        <v>10.1</v>
      </c>
      <c r="AA55" s="33" t="str">
        <f t="shared" si="157"/>
        <v>REG</v>
      </c>
    </row>
    <row r="56" spans="1:539" s="67" customFormat="1" ht="40" customHeight="1" x14ac:dyDescent="0.2">
      <c r="A56" s="66" t="str">
        <f>A55</f>
        <v>MAGIC 2</v>
      </c>
      <c r="B56" s="7">
        <f>B55</f>
        <v>7</v>
      </c>
      <c r="C56" s="7">
        <f>C55</f>
        <v>8</v>
      </c>
      <c r="D56" s="66" t="s">
        <v>31</v>
      </c>
      <c r="E56" s="17">
        <f>SUM(E51:E55)</f>
        <v>21</v>
      </c>
      <c r="F56" s="17">
        <f t="shared" ref="F56" si="186">SUM(F51:F55)</f>
        <v>42</v>
      </c>
      <c r="G56" s="17">
        <f t="shared" ref="G56" si="187">SUM(G51:G55)</f>
        <v>6</v>
      </c>
      <c r="H56" s="17">
        <f t="shared" ref="H56" si="188">SUM(H51:H55)</f>
        <v>25</v>
      </c>
      <c r="I56" s="17">
        <f t="shared" ref="I56" si="189">SUM(I51:I55)</f>
        <v>27</v>
      </c>
      <c r="J56" s="17">
        <f t="shared" ref="J56" si="190">SUM(J51:J55)</f>
        <v>67</v>
      </c>
      <c r="K56" s="17">
        <f t="shared" ref="K56" si="191">SUM(K51:K55)</f>
        <v>4</v>
      </c>
      <c r="L56" s="17">
        <f t="shared" ref="L56" si="192">SUM(L51:L55)</f>
        <v>8</v>
      </c>
      <c r="M56" s="17">
        <f t="shared" ref="M56" si="193">SUM(M51:M55)</f>
        <v>12</v>
      </c>
      <c r="N56" s="17">
        <f t="shared" ref="N56" si="194">SUM(N51:N55)</f>
        <v>35</v>
      </c>
      <c r="O56" s="17">
        <f t="shared" ref="O56" si="195">SUM(O51:O55)</f>
        <v>64</v>
      </c>
      <c r="P56" s="17">
        <f t="shared" ref="P56" si="196">SUM(P51:P55)</f>
        <v>47</v>
      </c>
      <c r="Q56" s="17">
        <f t="shared" ref="Q56" si="197">SUM(Q51:Q55)</f>
        <v>16</v>
      </c>
      <c r="R56" s="17">
        <f t="shared" ref="R56" si="198">SUM(R51:R55)</f>
        <v>1</v>
      </c>
      <c r="S56" s="17">
        <f t="shared" ref="S56" si="199">SUM(S51:S55)</f>
        <v>4</v>
      </c>
      <c r="T56" s="17">
        <f t="shared" ref="T56" si="200">SUM(T51:T55)</f>
        <v>15</v>
      </c>
      <c r="U56" s="17">
        <f t="shared" ref="U56" si="201">SUM(U51:U55)</f>
        <v>8</v>
      </c>
      <c r="V56" s="68">
        <f t="shared" si="179"/>
        <v>0.40298507462686567</v>
      </c>
      <c r="W56" s="68">
        <f t="shared" si="180"/>
        <v>0.5</v>
      </c>
      <c r="X56" s="68">
        <f t="shared" si="181"/>
        <v>0.5</v>
      </c>
      <c r="Y56" s="68">
        <f t="shared" si="182"/>
        <v>0.24</v>
      </c>
      <c r="Z56" s="69">
        <f>AVERAGE(Z51:Z55)</f>
        <v>8.58</v>
      </c>
      <c r="AA56" s="69" t="str">
        <f t="shared" si="157"/>
        <v>REG</v>
      </c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  <c r="II56" s="1"/>
      <c r="IJ56" s="1"/>
      <c r="IK56" s="1"/>
      <c r="IL56" s="1"/>
      <c r="IM56" s="1"/>
      <c r="IN56" s="1"/>
      <c r="IO56" s="1"/>
      <c r="IP56" s="1"/>
      <c r="IQ56" s="1"/>
      <c r="IR56" s="1"/>
      <c r="IS56" s="1"/>
      <c r="IT56" s="1"/>
      <c r="IU56" s="1"/>
      <c r="IV56" s="1"/>
      <c r="IW56" s="1"/>
      <c r="IX56" s="1"/>
      <c r="IY56" s="1"/>
      <c r="IZ56" s="1"/>
      <c r="JA56" s="1"/>
      <c r="JB56" s="1"/>
      <c r="JC56" s="1"/>
      <c r="JD56" s="1"/>
      <c r="JE56" s="1"/>
      <c r="JF56" s="1"/>
      <c r="JG56" s="1"/>
      <c r="JH56" s="1"/>
      <c r="JI56" s="1"/>
      <c r="JJ56" s="1"/>
      <c r="JK56" s="1"/>
      <c r="JL56" s="1"/>
      <c r="JM56" s="1"/>
      <c r="JN56" s="1"/>
      <c r="JO56" s="1"/>
      <c r="JP56" s="1"/>
      <c r="JQ56" s="1"/>
      <c r="JR56" s="1"/>
      <c r="JS56" s="1"/>
      <c r="JT56" s="1"/>
      <c r="JU56" s="1"/>
      <c r="JV56" s="1"/>
      <c r="JW56" s="1"/>
      <c r="JX56" s="50"/>
      <c r="JY56" s="48"/>
      <c r="JZ56" s="48"/>
      <c r="KA56" s="48"/>
      <c r="KB56" s="48"/>
      <c r="KC56" s="48"/>
      <c r="KD56" s="48"/>
      <c r="KE56" s="48"/>
      <c r="KF56" s="48"/>
      <c r="KG56" s="48"/>
      <c r="KH56" s="48"/>
      <c r="KI56" s="48"/>
      <c r="KJ56" s="48"/>
      <c r="KK56" s="48"/>
      <c r="KL56" s="48"/>
      <c r="KM56" s="48"/>
      <c r="KN56" s="48"/>
      <c r="KO56" s="48"/>
      <c r="KP56" s="46"/>
      <c r="KQ56" s="46"/>
      <c r="KR56" s="46"/>
      <c r="KS56" s="46"/>
      <c r="KT56" s="47"/>
      <c r="KU56" s="50"/>
      <c r="KV56" s="48"/>
      <c r="KW56" s="48"/>
      <c r="KX56" s="48"/>
      <c r="KY56" s="48"/>
      <c r="KZ56" s="48"/>
      <c r="LA56" s="48"/>
      <c r="LB56" s="48"/>
      <c r="LC56" s="48"/>
      <c r="LD56" s="48"/>
      <c r="LE56" s="48"/>
      <c r="LF56" s="48"/>
      <c r="LG56" s="48"/>
      <c r="LH56" s="48"/>
      <c r="LI56" s="48"/>
      <c r="LJ56" s="48"/>
      <c r="LK56" s="48"/>
      <c r="LL56" s="48"/>
      <c r="LM56" s="46"/>
      <c r="LN56" s="46"/>
      <c r="LO56" s="46"/>
      <c r="LP56" s="46"/>
      <c r="LQ56" s="47"/>
      <c r="LR56" s="50"/>
      <c r="LS56" s="48"/>
      <c r="LT56" s="48"/>
      <c r="LU56" s="48"/>
      <c r="LV56" s="48"/>
      <c r="LW56" s="48"/>
      <c r="LX56" s="48"/>
      <c r="LY56" s="48"/>
      <c r="LZ56" s="48"/>
      <c r="MA56" s="48"/>
      <c r="MB56" s="48"/>
      <c r="MC56" s="48"/>
      <c r="MD56" s="48"/>
      <c r="ME56" s="48"/>
      <c r="MF56" s="48"/>
      <c r="MG56" s="48"/>
      <c r="MH56" s="48"/>
      <c r="MI56" s="48"/>
      <c r="MJ56" s="46"/>
      <c r="MK56" s="46"/>
      <c r="ML56" s="46"/>
      <c r="MM56" s="46"/>
      <c r="MN56" s="47"/>
      <c r="MO56" s="50"/>
      <c r="MP56" s="48"/>
      <c r="MQ56" s="48"/>
      <c r="MR56" s="48"/>
      <c r="MS56" s="48"/>
      <c r="MT56" s="48"/>
      <c r="MU56" s="48"/>
      <c r="MV56" s="48"/>
      <c r="MW56" s="48"/>
      <c r="MX56" s="48"/>
      <c r="MY56" s="48"/>
      <c r="MZ56" s="48"/>
      <c r="NA56" s="48"/>
      <c r="NB56" s="48"/>
      <c r="NC56" s="48"/>
      <c r="ND56" s="48"/>
      <c r="NE56" s="48"/>
      <c r="NF56" s="48"/>
      <c r="NG56" s="46"/>
      <c r="NH56" s="46"/>
      <c r="NI56" s="46"/>
      <c r="NJ56" s="46"/>
      <c r="NK56" s="47"/>
      <c r="NL56" s="50"/>
      <c r="NM56" s="48"/>
      <c r="NN56" s="48"/>
      <c r="NO56" s="48"/>
      <c r="NP56" s="48"/>
      <c r="NQ56" s="48"/>
      <c r="NR56" s="48"/>
      <c r="NS56" s="48"/>
      <c r="NT56" s="48"/>
      <c r="NU56" s="48"/>
      <c r="NV56" s="48"/>
      <c r="NW56" s="48"/>
      <c r="NX56" s="48"/>
      <c r="NY56" s="48"/>
      <c r="NZ56" s="48"/>
      <c r="OA56" s="48"/>
      <c r="OB56" s="48"/>
      <c r="OC56" s="48"/>
      <c r="OD56" s="46"/>
      <c r="OE56" s="46"/>
      <c r="OF56" s="46"/>
      <c r="OG56" s="46"/>
      <c r="OH56" s="47"/>
      <c r="OI56" s="50"/>
      <c r="OJ56" s="48"/>
      <c r="OK56" s="48"/>
      <c r="OL56" s="48"/>
      <c r="OM56" s="48"/>
      <c r="ON56" s="48"/>
      <c r="OO56" s="48"/>
      <c r="OP56" s="48"/>
      <c r="OQ56" s="48"/>
      <c r="OR56" s="48"/>
      <c r="OS56" s="48"/>
      <c r="OT56" s="48"/>
      <c r="OU56" s="48"/>
      <c r="OV56" s="48"/>
      <c r="OW56" s="48"/>
      <c r="OX56" s="48"/>
      <c r="OY56" s="48"/>
      <c r="OZ56" s="48"/>
      <c r="PA56" s="46"/>
      <c r="PB56" s="46"/>
      <c r="PC56" s="46"/>
      <c r="PD56" s="46"/>
      <c r="PE56" s="47"/>
      <c r="PF56" s="50"/>
      <c r="PG56" s="48"/>
      <c r="PH56" s="48"/>
      <c r="PI56" s="48"/>
      <c r="PJ56" s="48"/>
      <c r="PK56" s="48"/>
      <c r="PL56" s="48"/>
      <c r="PM56" s="48"/>
      <c r="PN56" s="48"/>
      <c r="PO56" s="48"/>
      <c r="PP56" s="48"/>
      <c r="PQ56" s="48"/>
      <c r="PR56" s="48"/>
      <c r="PS56" s="48"/>
      <c r="PT56" s="48"/>
      <c r="PU56" s="48"/>
      <c r="PV56" s="48"/>
      <c r="PW56" s="48"/>
      <c r="PX56" s="46"/>
      <c r="PY56" s="46"/>
      <c r="PZ56" s="46"/>
      <c r="QA56" s="46"/>
      <c r="QB56" s="47"/>
      <c r="QC56" s="50"/>
      <c r="QD56" s="48"/>
      <c r="QE56" s="48"/>
      <c r="QF56" s="48"/>
      <c r="QG56" s="48"/>
      <c r="QH56" s="48"/>
      <c r="QI56" s="48"/>
      <c r="QJ56" s="48"/>
      <c r="QK56" s="48"/>
      <c r="QL56" s="48"/>
      <c r="QM56" s="48"/>
      <c r="QN56" s="48"/>
      <c r="QO56" s="48"/>
      <c r="QP56" s="48"/>
      <c r="QQ56" s="48"/>
      <c r="QR56" s="48"/>
      <c r="QS56" s="48"/>
      <c r="QT56" s="48"/>
      <c r="QU56" s="46"/>
      <c r="QV56" s="46"/>
      <c r="QW56" s="46"/>
      <c r="QX56" s="46"/>
      <c r="QY56" s="47"/>
      <c r="QZ56" s="1"/>
      <c r="RA56" s="1"/>
      <c r="RB56" s="1"/>
      <c r="RC56" s="1"/>
      <c r="RD56" s="1"/>
      <c r="RE56" s="1"/>
      <c r="RF56" s="1"/>
      <c r="RG56" s="1"/>
      <c r="RH56" s="1"/>
      <c r="RI56" s="1"/>
      <c r="RJ56" s="1"/>
      <c r="RK56" s="1"/>
      <c r="RL56" s="1"/>
      <c r="RM56" s="1"/>
      <c r="RN56" s="1"/>
      <c r="RO56" s="1"/>
      <c r="RP56" s="1"/>
      <c r="RQ56" s="1"/>
      <c r="RR56" s="1"/>
      <c r="RS56" s="1"/>
      <c r="RT56" s="1"/>
      <c r="RU56" s="1"/>
      <c r="RV56" s="1"/>
      <c r="RW56" s="1"/>
      <c r="RX56" s="1"/>
      <c r="RY56" s="1"/>
      <c r="RZ56" s="1"/>
      <c r="SA56" s="1"/>
      <c r="SB56" s="1"/>
      <c r="SC56" s="1"/>
      <c r="SD56" s="1"/>
      <c r="SE56" s="1"/>
      <c r="SF56" s="1"/>
      <c r="SG56" s="1"/>
      <c r="SH56" s="1"/>
      <c r="SI56" s="1"/>
      <c r="SJ56" s="1"/>
      <c r="SK56" s="1"/>
      <c r="SL56" s="1"/>
      <c r="SM56" s="1"/>
      <c r="SN56" s="1"/>
      <c r="SO56" s="1"/>
      <c r="SP56" s="1"/>
      <c r="SQ56" s="1"/>
      <c r="SR56" s="1"/>
      <c r="SS56" s="1"/>
      <c r="ST56" s="1"/>
      <c r="SU56" s="1"/>
      <c r="SV56" s="1"/>
      <c r="SW56" s="1"/>
      <c r="SX56" s="1"/>
      <c r="SY56" s="1"/>
      <c r="SZ56" s="1"/>
      <c r="TA56" s="1"/>
      <c r="TB56" s="1"/>
      <c r="TC56" s="1"/>
      <c r="TD56" s="1"/>
      <c r="TE56" s="1"/>
      <c r="TF56" s="1"/>
      <c r="TG56" s="1"/>
      <c r="TH56" s="1"/>
      <c r="TI56" s="1"/>
      <c r="TJ56" s="1"/>
      <c r="TK56" s="1"/>
      <c r="TL56" s="1"/>
      <c r="TM56" s="1"/>
      <c r="TN56" s="1"/>
      <c r="TO56" s="1"/>
      <c r="TP56" s="1"/>
      <c r="TQ56" s="1"/>
      <c r="TR56" s="1"/>
      <c r="TS56" s="1"/>
    </row>
    <row r="57" spans="1:539" ht="40" customHeight="1" x14ac:dyDescent="0.2">
      <c r="A57" s="34" t="s">
        <v>30</v>
      </c>
      <c r="B57" s="7">
        <v>7</v>
      </c>
      <c r="C57" s="7">
        <f>C55</f>
        <v>8</v>
      </c>
      <c r="D57" s="34" t="s">
        <v>22</v>
      </c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>
        <v>68</v>
      </c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 t="str">
        <f t="shared" si="157"/>
        <v>REG</v>
      </c>
    </row>
    <row r="58" spans="1:539" ht="40" customHeight="1" x14ac:dyDescent="0.2">
      <c r="A58" s="7" t="str">
        <f>D64</f>
        <v>LIGHTNING 3</v>
      </c>
      <c r="B58" s="7">
        <v>7</v>
      </c>
      <c r="C58" s="7">
        <f>C52+1</f>
        <v>9</v>
      </c>
      <c r="D58" s="7" t="str">
        <f>D52</f>
        <v>Lachlan Farley</v>
      </c>
      <c r="E58" s="19">
        <v>4</v>
      </c>
      <c r="F58" s="19">
        <v>11</v>
      </c>
      <c r="G58" s="19">
        <v>5</v>
      </c>
      <c r="H58" s="19">
        <v>11</v>
      </c>
      <c r="I58" s="19">
        <f>E58+G58</f>
        <v>9</v>
      </c>
      <c r="J58" s="19">
        <f>F58+H58</f>
        <v>22</v>
      </c>
      <c r="K58" s="19">
        <v>1</v>
      </c>
      <c r="L58" s="19">
        <v>2</v>
      </c>
      <c r="M58" s="19">
        <v>9</v>
      </c>
      <c r="N58" s="19">
        <v>13</v>
      </c>
      <c r="O58" s="19">
        <f>E58*2+G58*3+K58</f>
        <v>24</v>
      </c>
      <c r="P58" s="19">
        <f>M58+N58</f>
        <v>22</v>
      </c>
      <c r="Q58" s="19">
        <v>4</v>
      </c>
      <c r="R58" s="19">
        <v>0</v>
      </c>
      <c r="S58" s="19">
        <v>1</v>
      </c>
      <c r="T58" s="19">
        <v>3</v>
      </c>
      <c r="U58" s="19">
        <v>0</v>
      </c>
      <c r="V58" s="20">
        <f>IFERROR(I58/J58,0)</f>
        <v>0.40909090909090912</v>
      </c>
      <c r="W58" s="20">
        <f>IFERROR(K58/L58,0)</f>
        <v>0.5</v>
      </c>
      <c r="X58" s="20">
        <f>IFERROR(E58/F58,0)</f>
        <v>0.36363636363636365</v>
      </c>
      <c r="Y58" s="20">
        <f>IFERROR(G58/H58,0)</f>
        <v>0.45454545454545453</v>
      </c>
      <c r="Z58" s="21">
        <f>(O58)+(0.4*I58)-(0.7*J58)-(0.4*(L58-K58))+(0.7*M58)+(0.3*N58)+S58+(0.7*Q58)+(0.7*R58)-(0.4*U58)-T58</f>
        <v>22.8</v>
      </c>
      <c r="AA58" s="21" t="s">
        <v>33</v>
      </c>
    </row>
    <row r="59" spans="1:539" ht="40" customHeight="1" x14ac:dyDescent="0.2">
      <c r="A59" s="7" t="str">
        <f>A58</f>
        <v>LIGHTNING 3</v>
      </c>
      <c r="B59" s="7">
        <v>7</v>
      </c>
      <c r="C59" s="7">
        <f>C58</f>
        <v>9</v>
      </c>
      <c r="D59" s="7" t="str">
        <f>D53</f>
        <v>Josh Huxtable</v>
      </c>
      <c r="E59" s="22">
        <v>4</v>
      </c>
      <c r="F59" s="22">
        <v>13</v>
      </c>
      <c r="G59" s="22">
        <v>2</v>
      </c>
      <c r="H59" s="22">
        <v>3</v>
      </c>
      <c r="I59" s="22">
        <f t="shared" ref="I59:J62" si="202">E59+G59</f>
        <v>6</v>
      </c>
      <c r="J59" s="22">
        <f t="shared" si="202"/>
        <v>16</v>
      </c>
      <c r="K59" s="22">
        <v>0</v>
      </c>
      <c r="L59" s="22">
        <v>0</v>
      </c>
      <c r="M59" s="22">
        <v>6</v>
      </c>
      <c r="N59" s="22">
        <v>4</v>
      </c>
      <c r="O59" s="22">
        <f t="shared" ref="O59:O62" si="203">E59*2+G59*3+K59</f>
        <v>14</v>
      </c>
      <c r="P59" s="22">
        <f t="shared" ref="P59:P62" si="204">M59+N59</f>
        <v>10</v>
      </c>
      <c r="Q59" s="22">
        <v>7</v>
      </c>
      <c r="R59" s="22">
        <v>0</v>
      </c>
      <c r="S59" s="22">
        <v>1</v>
      </c>
      <c r="T59" s="22">
        <v>1</v>
      </c>
      <c r="U59" s="22">
        <v>1</v>
      </c>
      <c r="V59" s="23">
        <f t="shared" ref="V59:V63" si="205">IFERROR(I59/J59,0)</f>
        <v>0.375</v>
      </c>
      <c r="W59" s="23">
        <f t="shared" ref="W59:W63" si="206">IFERROR(K59/L59,0)</f>
        <v>0</v>
      </c>
      <c r="X59" s="23">
        <f t="shared" ref="X59:X63" si="207">IFERROR(E59/F59,0)</f>
        <v>0.30769230769230771</v>
      </c>
      <c r="Y59" s="23">
        <f t="shared" ref="Y59:Y63" si="208">IFERROR(G59/H59,0)</f>
        <v>0.66666666666666663</v>
      </c>
      <c r="Z59" s="24">
        <f t="shared" ref="Z59:Z62" si="209">(O59)+(0.4*I59)-(0.7*J59)-(0.4*(L59-K59))+(0.7*M59)+(0.3*N59)+S59+(0.7*Q59)+(0.7*R59)-(0.4*U59)-T59</f>
        <v>15.099999999999998</v>
      </c>
      <c r="AA59" s="24" t="str">
        <f>AA58</f>
        <v>REG</v>
      </c>
    </row>
    <row r="60" spans="1:539" ht="40" customHeight="1" x14ac:dyDescent="0.2">
      <c r="A60" s="7" t="str">
        <f t="shared" ref="A60:A62" si="210">A59</f>
        <v>LIGHTNING 3</v>
      </c>
      <c r="B60" s="7">
        <v>7</v>
      </c>
      <c r="C60" s="7">
        <f t="shared" ref="C60:C62" si="211">C59</f>
        <v>9</v>
      </c>
      <c r="D60" s="7" t="str">
        <f>D54</f>
        <v>Darcy Bishop</v>
      </c>
      <c r="E60" s="25">
        <v>4</v>
      </c>
      <c r="F60" s="25">
        <v>9</v>
      </c>
      <c r="G60" s="25">
        <v>0</v>
      </c>
      <c r="H60" s="25">
        <v>4</v>
      </c>
      <c r="I60" s="25">
        <f t="shared" si="202"/>
        <v>4</v>
      </c>
      <c r="J60" s="25">
        <f t="shared" si="202"/>
        <v>13</v>
      </c>
      <c r="K60" s="25">
        <v>0</v>
      </c>
      <c r="L60" s="25">
        <v>0</v>
      </c>
      <c r="M60" s="25">
        <v>1</v>
      </c>
      <c r="N60" s="25">
        <v>3</v>
      </c>
      <c r="O60" s="25">
        <f t="shared" si="203"/>
        <v>8</v>
      </c>
      <c r="P60" s="25">
        <f t="shared" si="204"/>
        <v>4</v>
      </c>
      <c r="Q60" s="25">
        <v>9</v>
      </c>
      <c r="R60" s="25">
        <v>1</v>
      </c>
      <c r="S60" s="25">
        <v>2</v>
      </c>
      <c r="T60" s="25">
        <v>5</v>
      </c>
      <c r="U60" s="25">
        <v>0</v>
      </c>
      <c r="V60" s="26">
        <f t="shared" si="205"/>
        <v>0.30769230769230771</v>
      </c>
      <c r="W60" s="26">
        <f t="shared" si="206"/>
        <v>0</v>
      </c>
      <c r="X60" s="26">
        <f t="shared" si="207"/>
        <v>0.44444444444444442</v>
      </c>
      <c r="Y60" s="26">
        <f t="shared" si="208"/>
        <v>0</v>
      </c>
      <c r="Z60" s="27">
        <f t="shared" si="209"/>
        <v>6.0999999999999979</v>
      </c>
      <c r="AA60" s="27" t="str">
        <f t="shared" ref="AA60:AA64" si="212">AA59</f>
        <v>REG</v>
      </c>
    </row>
    <row r="61" spans="1:539" ht="40" customHeight="1" x14ac:dyDescent="0.2">
      <c r="A61" s="7" t="str">
        <f t="shared" si="210"/>
        <v>LIGHTNING 3</v>
      </c>
      <c r="B61" s="7">
        <v>7</v>
      </c>
      <c r="C61" s="7">
        <f t="shared" si="211"/>
        <v>9</v>
      </c>
      <c r="D61" s="7" t="str">
        <f>D33</f>
        <v>Harry Coller</v>
      </c>
      <c r="E61" s="28">
        <v>14</v>
      </c>
      <c r="F61" s="28">
        <v>20</v>
      </c>
      <c r="G61" s="28">
        <v>7</v>
      </c>
      <c r="H61" s="28">
        <v>17</v>
      </c>
      <c r="I61" s="28">
        <f t="shared" si="202"/>
        <v>21</v>
      </c>
      <c r="J61" s="28">
        <f t="shared" si="202"/>
        <v>37</v>
      </c>
      <c r="K61" s="28">
        <v>1</v>
      </c>
      <c r="L61" s="28">
        <v>1</v>
      </c>
      <c r="M61" s="28">
        <v>8</v>
      </c>
      <c r="N61" s="28">
        <v>2</v>
      </c>
      <c r="O61" s="28">
        <f t="shared" si="203"/>
        <v>50</v>
      </c>
      <c r="P61" s="28">
        <f t="shared" si="204"/>
        <v>10</v>
      </c>
      <c r="Q61" s="28">
        <v>2</v>
      </c>
      <c r="R61" s="28">
        <v>0</v>
      </c>
      <c r="S61" s="28">
        <v>1</v>
      </c>
      <c r="T61" s="28">
        <v>1</v>
      </c>
      <c r="U61" s="28">
        <v>0</v>
      </c>
      <c r="V61" s="29">
        <f t="shared" si="205"/>
        <v>0.56756756756756754</v>
      </c>
      <c r="W61" s="29">
        <f t="shared" si="206"/>
        <v>1</v>
      </c>
      <c r="X61" s="29">
        <f t="shared" si="207"/>
        <v>0.7</v>
      </c>
      <c r="Y61" s="29">
        <f t="shared" si="208"/>
        <v>0.41176470588235292</v>
      </c>
      <c r="Z61" s="30">
        <f t="shared" si="209"/>
        <v>40.1</v>
      </c>
      <c r="AA61" s="30" t="str">
        <f t="shared" si="212"/>
        <v>REG</v>
      </c>
    </row>
    <row r="62" spans="1:539" ht="40" customHeight="1" x14ac:dyDescent="0.2">
      <c r="A62" s="7" t="str">
        <f t="shared" si="210"/>
        <v>LIGHTNING 3</v>
      </c>
      <c r="B62" s="7">
        <v>7</v>
      </c>
      <c r="C62" s="7">
        <f t="shared" si="211"/>
        <v>9</v>
      </c>
      <c r="D62" s="7" t="str">
        <f>D55</f>
        <v>Adam Blain</v>
      </c>
      <c r="E62" s="31">
        <v>2</v>
      </c>
      <c r="F62" s="31">
        <v>9</v>
      </c>
      <c r="G62" s="31">
        <v>0</v>
      </c>
      <c r="H62" s="31">
        <v>2</v>
      </c>
      <c r="I62" s="31">
        <f t="shared" si="202"/>
        <v>2</v>
      </c>
      <c r="J62" s="31">
        <f t="shared" si="202"/>
        <v>11</v>
      </c>
      <c r="K62" s="31">
        <v>0</v>
      </c>
      <c r="L62" s="31">
        <v>0</v>
      </c>
      <c r="M62" s="31">
        <v>3</v>
      </c>
      <c r="N62" s="31">
        <v>12</v>
      </c>
      <c r="O62" s="31">
        <f t="shared" si="203"/>
        <v>4</v>
      </c>
      <c r="P62" s="31">
        <f t="shared" si="204"/>
        <v>15</v>
      </c>
      <c r="Q62" s="31">
        <v>6</v>
      </c>
      <c r="R62" s="31">
        <v>6</v>
      </c>
      <c r="S62" s="31">
        <v>6</v>
      </c>
      <c r="T62" s="31">
        <v>3</v>
      </c>
      <c r="U62" s="31">
        <v>1</v>
      </c>
      <c r="V62" s="32">
        <f t="shared" si="205"/>
        <v>0.18181818181818182</v>
      </c>
      <c r="W62" s="32">
        <f t="shared" si="206"/>
        <v>0</v>
      </c>
      <c r="X62" s="32">
        <f t="shared" si="207"/>
        <v>0.22222222222222221</v>
      </c>
      <c r="Y62" s="32">
        <f t="shared" si="208"/>
        <v>0</v>
      </c>
      <c r="Z62" s="33">
        <f t="shared" si="209"/>
        <v>13.8</v>
      </c>
      <c r="AA62" s="33" t="str">
        <f t="shared" si="212"/>
        <v>REG</v>
      </c>
    </row>
    <row r="63" spans="1:539" s="67" customFormat="1" ht="40" customHeight="1" x14ac:dyDescent="0.2">
      <c r="A63" s="66" t="str">
        <f>A62</f>
        <v>LIGHTNING 3</v>
      </c>
      <c r="B63" s="7">
        <f>B62</f>
        <v>7</v>
      </c>
      <c r="C63" s="7">
        <f>C62</f>
        <v>9</v>
      </c>
      <c r="D63" s="66" t="s">
        <v>31</v>
      </c>
      <c r="E63" s="17">
        <f>SUM(E58:E62)</f>
        <v>28</v>
      </c>
      <c r="F63" s="17">
        <f t="shared" ref="F63" si="213">SUM(F58:F62)</f>
        <v>62</v>
      </c>
      <c r="G63" s="17">
        <f t="shared" ref="G63" si="214">SUM(G58:G62)</f>
        <v>14</v>
      </c>
      <c r="H63" s="17">
        <f t="shared" ref="H63" si="215">SUM(H58:H62)</f>
        <v>37</v>
      </c>
      <c r="I63" s="17">
        <f t="shared" ref="I63" si="216">SUM(I58:I62)</f>
        <v>42</v>
      </c>
      <c r="J63" s="17">
        <f t="shared" ref="J63" si="217">SUM(J58:J62)</f>
        <v>99</v>
      </c>
      <c r="K63" s="17">
        <f t="shared" ref="K63" si="218">SUM(K58:K62)</f>
        <v>2</v>
      </c>
      <c r="L63" s="17">
        <f t="shared" ref="L63" si="219">SUM(L58:L62)</f>
        <v>3</v>
      </c>
      <c r="M63" s="17">
        <f t="shared" ref="M63" si="220">SUM(M58:M62)</f>
        <v>27</v>
      </c>
      <c r="N63" s="17">
        <f t="shared" ref="N63" si="221">SUM(N58:N62)</f>
        <v>34</v>
      </c>
      <c r="O63" s="17">
        <f t="shared" ref="O63" si="222">SUM(O58:O62)</f>
        <v>100</v>
      </c>
      <c r="P63" s="17">
        <f t="shared" ref="P63" si="223">SUM(P58:P62)</f>
        <v>61</v>
      </c>
      <c r="Q63" s="17">
        <f t="shared" ref="Q63" si="224">SUM(Q58:Q62)</f>
        <v>28</v>
      </c>
      <c r="R63" s="17">
        <f t="shared" ref="R63" si="225">SUM(R58:R62)</f>
        <v>7</v>
      </c>
      <c r="S63" s="17">
        <f t="shared" ref="S63" si="226">SUM(S58:S62)</f>
        <v>11</v>
      </c>
      <c r="T63" s="17">
        <f t="shared" ref="T63" si="227">SUM(T58:T62)</f>
        <v>13</v>
      </c>
      <c r="U63" s="17">
        <f t="shared" ref="U63" si="228">SUM(U58:U62)</f>
        <v>2</v>
      </c>
      <c r="V63" s="68">
        <f t="shared" si="205"/>
        <v>0.42424242424242425</v>
      </c>
      <c r="W63" s="68">
        <f t="shared" si="206"/>
        <v>0.66666666666666663</v>
      </c>
      <c r="X63" s="68">
        <f t="shared" si="207"/>
        <v>0.45161290322580644</v>
      </c>
      <c r="Y63" s="68">
        <f t="shared" si="208"/>
        <v>0.3783783783783784</v>
      </c>
      <c r="Z63" s="69">
        <f>AVERAGE(Z58:Z62)</f>
        <v>19.579999999999998</v>
      </c>
      <c r="AA63" s="69" t="str">
        <f t="shared" si="212"/>
        <v>REG</v>
      </c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s="1"/>
      <c r="EJ63" s="1"/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  <c r="EY63" s="1"/>
      <c r="EZ63" s="1"/>
      <c r="FA63" s="1"/>
      <c r="FB63" s="1"/>
      <c r="FC63" s="1"/>
      <c r="FD63" s="1"/>
      <c r="FE63" s="1"/>
      <c r="FF63" s="1"/>
      <c r="FG63" s="1"/>
      <c r="FH63" s="1"/>
      <c r="FI63" s="1"/>
      <c r="FJ63" s="1"/>
      <c r="FK63" s="1"/>
      <c r="FL63" s="1"/>
      <c r="FM63" s="1"/>
      <c r="FN63" s="1"/>
      <c r="FO63" s="1"/>
      <c r="FP63" s="1"/>
      <c r="FQ63" s="1"/>
      <c r="FR63" s="1"/>
      <c r="FS63" s="1"/>
      <c r="FT63" s="1"/>
      <c r="FU63" s="1"/>
      <c r="FV63" s="1"/>
      <c r="FW63" s="1"/>
      <c r="FX63" s="1"/>
      <c r="FY63" s="1"/>
      <c r="FZ63" s="1"/>
      <c r="GA63" s="1"/>
      <c r="GB63" s="1"/>
      <c r="GC63" s="1"/>
      <c r="GD63" s="1"/>
      <c r="GE63" s="1"/>
      <c r="GF63" s="1"/>
      <c r="GG63" s="1"/>
      <c r="GH63" s="1"/>
      <c r="GI63" s="1"/>
      <c r="GJ63" s="1"/>
      <c r="GK63" s="1"/>
      <c r="GL63" s="1"/>
      <c r="GM63" s="1"/>
      <c r="GN63" s="1"/>
      <c r="GO63" s="1"/>
      <c r="GP63" s="1"/>
      <c r="GQ63" s="1"/>
      <c r="GR63" s="1"/>
      <c r="GS63" s="1"/>
      <c r="GT63" s="1"/>
      <c r="GU63" s="1"/>
      <c r="GV63" s="1"/>
      <c r="GW63" s="1"/>
      <c r="GX63" s="1"/>
      <c r="GY63" s="1"/>
      <c r="GZ63" s="1"/>
      <c r="HA63" s="1"/>
      <c r="HB63" s="1"/>
      <c r="HC63" s="1"/>
      <c r="HD63" s="1"/>
      <c r="HE63" s="1"/>
      <c r="HF63" s="1"/>
      <c r="HG63" s="1"/>
      <c r="HH63" s="1"/>
      <c r="HI63" s="1"/>
      <c r="HJ63" s="1"/>
      <c r="HK63" s="1"/>
      <c r="HL63" s="1"/>
      <c r="HM63" s="1"/>
      <c r="HN63" s="1"/>
      <c r="HO63" s="1"/>
      <c r="HP63" s="1"/>
      <c r="HQ63" s="1"/>
      <c r="HR63" s="1"/>
      <c r="HS63" s="1"/>
      <c r="HT63" s="1"/>
      <c r="HU63" s="1"/>
      <c r="HV63" s="1"/>
      <c r="HW63" s="1"/>
      <c r="HX63" s="1"/>
      <c r="HY63" s="1"/>
      <c r="HZ63" s="1"/>
      <c r="IA63" s="1"/>
      <c r="IB63" s="1"/>
      <c r="IC63" s="1"/>
      <c r="ID63" s="1"/>
      <c r="IE63" s="1"/>
      <c r="IF63" s="1"/>
      <c r="IG63" s="1"/>
      <c r="IH63" s="1"/>
      <c r="II63" s="1"/>
      <c r="IJ63" s="1"/>
      <c r="IK63" s="1"/>
      <c r="IL63" s="1"/>
      <c r="IM63" s="1"/>
      <c r="IN63" s="1"/>
      <c r="IO63" s="1"/>
      <c r="IP63" s="1"/>
      <c r="IQ63" s="1"/>
      <c r="IR63" s="1"/>
      <c r="IS63" s="1"/>
      <c r="IT63" s="1"/>
      <c r="IU63" s="1"/>
      <c r="IV63" s="1"/>
      <c r="IW63" s="1"/>
      <c r="IX63" s="1"/>
      <c r="IY63" s="1"/>
      <c r="IZ63" s="1"/>
      <c r="JA63" s="1"/>
      <c r="JB63" s="1"/>
      <c r="JC63" s="1"/>
      <c r="JD63" s="1"/>
      <c r="JE63" s="1"/>
      <c r="JF63" s="1"/>
      <c r="JG63" s="1"/>
      <c r="JH63" s="1"/>
      <c r="JI63" s="1"/>
      <c r="JJ63" s="1"/>
      <c r="JK63" s="1"/>
      <c r="JL63" s="1"/>
      <c r="JM63" s="1"/>
      <c r="JN63" s="1"/>
      <c r="JO63" s="1"/>
      <c r="JP63" s="1"/>
      <c r="JQ63" s="1"/>
      <c r="JR63" s="1"/>
      <c r="JS63" s="1"/>
      <c r="JT63" s="1"/>
      <c r="JU63" s="1"/>
      <c r="JV63" s="1"/>
      <c r="JW63" s="1"/>
      <c r="JX63" s="50"/>
      <c r="JY63" s="48"/>
      <c r="JZ63" s="48"/>
      <c r="KA63" s="48"/>
      <c r="KB63" s="48"/>
      <c r="KC63" s="48"/>
      <c r="KD63" s="48"/>
      <c r="KE63" s="48"/>
      <c r="KF63" s="48"/>
      <c r="KG63" s="48"/>
      <c r="KH63" s="48"/>
      <c r="KI63" s="48"/>
      <c r="KJ63" s="48"/>
      <c r="KK63" s="48"/>
      <c r="KL63" s="48"/>
      <c r="KM63" s="48"/>
      <c r="KN63" s="48"/>
      <c r="KO63" s="48"/>
      <c r="KP63" s="46"/>
      <c r="KQ63" s="46"/>
      <c r="KR63" s="46"/>
      <c r="KS63" s="46"/>
      <c r="KT63" s="47"/>
      <c r="KU63" s="50"/>
      <c r="KV63" s="48"/>
      <c r="KW63" s="48"/>
      <c r="KX63" s="48"/>
      <c r="KY63" s="48"/>
      <c r="KZ63" s="48"/>
      <c r="LA63" s="48"/>
      <c r="LB63" s="48"/>
      <c r="LC63" s="48"/>
      <c r="LD63" s="48"/>
      <c r="LE63" s="48"/>
      <c r="LF63" s="48"/>
      <c r="LG63" s="48"/>
      <c r="LH63" s="48"/>
      <c r="LI63" s="48"/>
      <c r="LJ63" s="48"/>
      <c r="LK63" s="48"/>
      <c r="LL63" s="48"/>
      <c r="LM63" s="46"/>
      <c r="LN63" s="46"/>
      <c r="LO63" s="46"/>
      <c r="LP63" s="46"/>
      <c r="LQ63" s="47"/>
      <c r="LR63" s="50"/>
      <c r="LS63" s="48"/>
      <c r="LT63" s="48"/>
      <c r="LU63" s="48"/>
      <c r="LV63" s="48"/>
      <c r="LW63" s="48"/>
      <c r="LX63" s="48"/>
      <c r="LY63" s="48"/>
      <c r="LZ63" s="48"/>
      <c r="MA63" s="48"/>
      <c r="MB63" s="48"/>
      <c r="MC63" s="48"/>
      <c r="MD63" s="48"/>
      <c r="ME63" s="48"/>
      <c r="MF63" s="48"/>
      <c r="MG63" s="48"/>
      <c r="MH63" s="48"/>
      <c r="MI63" s="48"/>
      <c r="MJ63" s="46"/>
      <c r="MK63" s="46"/>
      <c r="ML63" s="46"/>
      <c r="MM63" s="46"/>
      <c r="MN63" s="47"/>
      <c r="MO63" s="50"/>
      <c r="MP63" s="48"/>
      <c r="MQ63" s="48"/>
      <c r="MR63" s="48"/>
      <c r="MS63" s="48"/>
      <c r="MT63" s="48"/>
      <c r="MU63" s="48"/>
      <c r="MV63" s="48"/>
      <c r="MW63" s="48"/>
      <c r="MX63" s="48"/>
      <c r="MY63" s="48"/>
      <c r="MZ63" s="48"/>
      <c r="NA63" s="48"/>
      <c r="NB63" s="48"/>
      <c r="NC63" s="48"/>
      <c r="ND63" s="48"/>
      <c r="NE63" s="48"/>
      <c r="NF63" s="48"/>
      <c r="NG63" s="46"/>
      <c r="NH63" s="46"/>
      <c r="NI63" s="46"/>
      <c r="NJ63" s="46"/>
      <c r="NK63" s="47"/>
      <c r="NL63" s="50"/>
      <c r="NM63" s="48"/>
      <c r="NN63" s="48"/>
      <c r="NO63" s="48"/>
      <c r="NP63" s="48"/>
      <c r="NQ63" s="48"/>
      <c r="NR63" s="48"/>
      <c r="NS63" s="48"/>
      <c r="NT63" s="48"/>
      <c r="NU63" s="48"/>
      <c r="NV63" s="48"/>
      <c r="NW63" s="48"/>
      <c r="NX63" s="48"/>
      <c r="NY63" s="48"/>
      <c r="NZ63" s="48"/>
      <c r="OA63" s="48"/>
      <c r="OB63" s="48"/>
      <c r="OC63" s="48"/>
      <c r="OD63" s="46"/>
      <c r="OE63" s="46"/>
      <c r="OF63" s="46"/>
      <c r="OG63" s="46"/>
      <c r="OH63" s="47"/>
      <c r="OI63" s="50"/>
      <c r="OJ63" s="48"/>
      <c r="OK63" s="48"/>
      <c r="OL63" s="48"/>
      <c r="OM63" s="48"/>
      <c r="ON63" s="48"/>
      <c r="OO63" s="48"/>
      <c r="OP63" s="48"/>
      <c r="OQ63" s="48"/>
      <c r="OR63" s="48"/>
      <c r="OS63" s="48"/>
      <c r="OT63" s="48"/>
      <c r="OU63" s="48"/>
      <c r="OV63" s="48"/>
      <c r="OW63" s="48"/>
      <c r="OX63" s="48"/>
      <c r="OY63" s="48"/>
      <c r="OZ63" s="48"/>
      <c r="PA63" s="46"/>
      <c r="PB63" s="46"/>
      <c r="PC63" s="46"/>
      <c r="PD63" s="46"/>
      <c r="PE63" s="47"/>
      <c r="PF63" s="50"/>
      <c r="PG63" s="48"/>
      <c r="PH63" s="48"/>
      <c r="PI63" s="48"/>
      <c r="PJ63" s="48"/>
      <c r="PK63" s="48"/>
      <c r="PL63" s="48"/>
      <c r="PM63" s="48"/>
      <c r="PN63" s="48"/>
      <c r="PO63" s="48"/>
      <c r="PP63" s="48"/>
      <c r="PQ63" s="48"/>
      <c r="PR63" s="48"/>
      <c r="PS63" s="48"/>
      <c r="PT63" s="48"/>
      <c r="PU63" s="48"/>
      <c r="PV63" s="48"/>
      <c r="PW63" s="48"/>
      <c r="PX63" s="46"/>
      <c r="PY63" s="46"/>
      <c r="PZ63" s="46"/>
      <c r="QA63" s="46"/>
      <c r="QB63" s="47"/>
      <c r="QC63" s="50"/>
      <c r="QD63" s="48"/>
      <c r="QE63" s="48"/>
      <c r="QF63" s="48"/>
      <c r="QG63" s="48"/>
      <c r="QH63" s="48"/>
      <c r="QI63" s="48"/>
      <c r="QJ63" s="48"/>
      <c r="QK63" s="48"/>
      <c r="QL63" s="48"/>
      <c r="QM63" s="48"/>
      <c r="QN63" s="48"/>
      <c r="QO63" s="48"/>
      <c r="QP63" s="48"/>
      <c r="QQ63" s="48"/>
      <c r="QR63" s="48"/>
      <c r="QS63" s="48"/>
      <c r="QT63" s="48"/>
      <c r="QU63" s="46"/>
      <c r="QV63" s="46"/>
      <c r="QW63" s="46"/>
      <c r="QX63" s="46"/>
      <c r="QY63" s="47"/>
      <c r="QZ63" s="1"/>
      <c r="RA63" s="1"/>
      <c r="RB63" s="1"/>
      <c r="RC63" s="1"/>
      <c r="RD63" s="1"/>
      <c r="RE63" s="1"/>
      <c r="RF63" s="1"/>
      <c r="RG63" s="1"/>
      <c r="RH63" s="1"/>
      <c r="RI63" s="1"/>
      <c r="RJ63" s="1"/>
      <c r="RK63" s="1"/>
      <c r="RL63" s="1"/>
      <c r="RM63" s="1"/>
      <c r="RN63" s="1"/>
      <c r="RO63" s="1"/>
      <c r="RP63" s="1"/>
      <c r="RQ63" s="1"/>
      <c r="RR63" s="1"/>
      <c r="RS63" s="1"/>
      <c r="RT63" s="1"/>
      <c r="RU63" s="1"/>
      <c r="RV63" s="1"/>
      <c r="RW63" s="1"/>
      <c r="RX63" s="1"/>
      <c r="RY63" s="1"/>
      <c r="RZ63" s="1"/>
      <c r="SA63" s="1"/>
      <c r="SB63" s="1"/>
      <c r="SC63" s="1"/>
      <c r="SD63" s="1"/>
      <c r="SE63" s="1"/>
      <c r="SF63" s="1"/>
      <c r="SG63" s="1"/>
      <c r="SH63" s="1"/>
      <c r="SI63" s="1"/>
      <c r="SJ63" s="1"/>
      <c r="SK63" s="1"/>
      <c r="SL63" s="1"/>
      <c r="SM63" s="1"/>
      <c r="SN63" s="1"/>
      <c r="SO63" s="1"/>
      <c r="SP63" s="1"/>
      <c r="SQ63" s="1"/>
      <c r="SR63" s="1"/>
      <c r="SS63" s="1"/>
      <c r="ST63" s="1"/>
      <c r="SU63" s="1"/>
      <c r="SV63" s="1"/>
      <c r="SW63" s="1"/>
      <c r="SX63" s="1"/>
      <c r="SY63" s="1"/>
      <c r="SZ63" s="1"/>
      <c r="TA63" s="1"/>
      <c r="TB63" s="1"/>
      <c r="TC63" s="1"/>
      <c r="TD63" s="1"/>
      <c r="TE63" s="1"/>
      <c r="TF63" s="1"/>
      <c r="TG63" s="1"/>
      <c r="TH63" s="1"/>
      <c r="TI63" s="1"/>
      <c r="TJ63" s="1"/>
      <c r="TK63" s="1"/>
      <c r="TL63" s="1"/>
      <c r="TM63" s="1"/>
      <c r="TN63" s="1"/>
      <c r="TO63" s="1"/>
      <c r="TP63" s="1"/>
      <c r="TQ63" s="1"/>
      <c r="TR63" s="1"/>
      <c r="TS63" s="1"/>
    </row>
    <row r="64" spans="1:539" ht="40" customHeight="1" x14ac:dyDescent="0.2">
      <c r="A64" s="34" t="s">
        <v>30</v>
      </c>
      <c r="B64" s="7">
        <v>7</v>
      </c>
      <c r="C64" s="7">
        <f>C62</f>
        <v>9</v>
      </c>
      <c r="D64" s="34" t="s">
        <v>27</v>
      </c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>
        <v>76</v>
      </c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 t="str">
        <f t="shared" si="212"/>
        <v>REG</v>
      </c>
    </row>
    <row r="65" spans="1:539" ht="40" customHeight="1" x14ac:dyDescent="0.2">
      <c r="A65" s="7" t="str">
        <f>D71</f>
        <v>LIGHTNING 1</v>
      </c>
      <c r="B65" s="7">
        <v>7</v>
      </c>
      <c r="C65" s="7">
        <f>C58+1</f>
        <v>10</v>
      </c>
      <c r="D65" s="7" t="str">
        <f>D58</f>
        <v>Lachlan Farley</v>
      </c>
      <c r="E65" s="19">
        <v>5</v>
      </c>
      <c r="F65" s="19">
        <v>10</v>
      </c>
      <c r="G65" s="19">
        <v>3</v>
      </c>
      <c r="H65" s="19">
        <v>9</v>
      </c>
      <c r="I65" s="19">
        <f>E65+G65</f>
        <v>8</v>
      </c>
      <c r="J65" s="19">
        <f>F65+H65</f>
        <v>19</v>
      </c>
      <c r="K65" s="19">
        <v>2</v>
      </c>
      <c r="L65" s="19">
        <v>2</v>
      </c>
      <c r="M65" s="19">
        <v>2</v>
      </c>
      <c r="N65" s="19">
        <v>8</v>
      </c>
      <c r="O65" s="19">
        <f>E65*2+G65*3+K65</f>
        <v>21</v>
      </c>
      <c r="P65" s="19">
        <f>M65+N65</f>
        <v>10</v>
      </c>
      <c r="Q65" s="19">
        <v>5</v>
      </c>
      <c r="R65" s="19">
        <v>0</v>
      </c>
      <c r="S65" s="19">
        <v>3</v>
      </c>
      <c r="T65" s="19">
        <v>5</v>
      </c>
      <c r="U65" s="19">
        <v>1</v>
      </c>
      <c r="V65" s="20">
        <f>IFERROR(I65/J65,0)</f>
        <v>0.42105263157894735</v>
      </c>
      <c r="W65" s="20">
        <f>IFERROR(K65/L65,0)</f>
        <v>1</v>
      </c>
      <c r="X65" s="20">
        <f>IFERROR(E65/F65,0)</f>
        <v>0.5</v>
      </c>
      <c r="Y65" s="20">
        <f>IFERROR(G65/H65,0)</f>
        <v>0.33333333333333331</v>
      </c>
      <c r="Z65" s="21">
        <f>(O65)+(0.4*I65)-(0.7*J65)-(0.4*(L65-K65))+(0.7*M65)+(0.3*N65)+S65+(0.7*Q65)+(0.7*R65)-(0.4*U65)-T65</f>
        <v>15.800000000000004</v>
      </c>
      <c r="AA65" s="21" t="s">
        <v>33</v>
      </c>
    </row>
    <row r="66" spans="1:539" ht="40" customHeight="1" x14ac:dyDescent="0.2">
      <c r="A66" s="7" t="str">
        <f>A65</f>
        <v>LIGHTNING 1</v>
      </c>
      <c r="B66" s="7">
        <v>7</v>
      </c>
      <c r="C66" s="7">
        <f>C65</f>
        <v>10</v>
      </c>
      <c r="D66" s="7" t="str">
        <f>D59</f>
        <v>Josh Huxtable</v>
      </c>
      <c r="E66" s="22">
        <v>1</v>
      </c>
      <c r="F66" s="22">
        <v>4</v>
      </c>
      <c r="G66" s="22">
        <v>0</v>
      </c>
      <c r="H66" s="71">
        <v>1</v>
      </c>
      <c r="I66" s="22">
        <f t="shared" ref="I66:J69" si="229">E66+G66</f>
        <v>1</v>
      </c>
      <c r="J66" s="22">
        <f t="shared" si="229"/>
        <v>5</v>
      </c>
      <c r="K66" s="22">
        <v>0</v>
      </c>
      <c r="L66" s="22">
        <v>0</v>
      </c>
      <c r="M66" s="22">
        <v>4</v>
      </c>
      <c r="N66" s="22">
        <v>1</v>
      </c>
      <c r="O66" s="22">
        <f t="shared" ref="O66:O69" si="230">E66*2+G66*3+K66</f>
        <v>2</v>
      </c>
      <c r="P66" s="22">
        <f t="shared" ref="P66:P69" si="231">M66+N66</f>
        <v>5</v>
      </c>
      <c r="Q66" s="22">
        <v>8</v>
      </c>
      <c r="R66" s="22">
        <v>0</v>
      </c>
      <c r="S66" s="22">
        <v>1</v>
      </c>
      <c r="T66" s="22">
        <v>1</v>
      </c>
      <c r="U66" s="22">
        <v>1</v>
      </c>
      <c r="V66" s="23">
        <f t="shared" ref="V66:V70" si="232">IFERROR(I66/J66,0)</f>
        <v>0.2</v>
      </c>
      <c r="W66" s="23">
        <f t="shared" ref="W66:W70" si="233">IFERROR(K66/L66,0)</f>
        <v>0</v>
      </c>
      <c r="X66" s="23">
        <f t="shared" ref="X66:X70" si="234">IFERROR(E66/F66,0)</f>
        <v>0.25</v>
      </c>
      <c r="Y66" s="23">
        <f t="shared" ref="Y66:Y70" si="235">IFERROR(G66/H66,0)</f>
        <v>0</v>
      </c>
      <c r="Z66" s="24">
        <f t="shared" ref="Z66:Z69" si="236">(O66)+(0.4*I66)-(0.7*J66)-(0.4*(L66-K66))+(0.7*M66)+(0.3*N66)+S66+(0.7*Q66)+(0.7*R66)-(0.4*U66)-T66</f>
        <v>7.1999999999999993</v>
      </c>
      <c r="AA66" s="24" t="str">
        <f>AA65</f>
        <v>REG</v>
      </c>
    </row>
    <row r="67" spans="1:539" ht="40" customHeight="1" x14ac:dyDescent="0.2">
      <c r="A67" s="7" t="str">
        <f t="shared" ref="A67:A69" si="237">A66</f>
        <v>LIGHTNING 1</v>
      </c>
      <c r="B67" s="7">
        <v>7</v>
      </c>
      <c r="C67" s="7">
        <f t="shared" ref="C67:C69" si="238">C66</f>
        <v>10</v>
      </c>
      <c r="D67" s="7" t="str">
        <f>D60</f>
        <v>Darcy Bishop</v>
      </c>
      <c r="E67" s="25">
        <v>0</v>
      </c>
      <c r="F67" s="25">
        <v>0</v>
      </c>
      <c r="G67" s="25">
        <v>0</v>
      </c>
      <c r="H67" s="25">
        <v>1</v>
      </c>
      <c r="I67" s="25">
        <f t="shared" si="229"/>
        <v>0</v>
      </c>
      <c r="J67" s="25">
        <f t="shared" si="229"/>
        <v>1</v>
      </c>
      <c r="K67" s="25">
        <v>0</v>
      </c>
      <c r="L67" s="25">
        <v>0</v>
      </c>
      <c r="M67" s="25">
        <v>0</v>
      </c>
      <c r="N67" s="25">
        <v>5</v>
      </c>
      <c r="O67" s="25">
        <f t="shared" si="230"/>
        <v>0</v>
      </c>
      <c r="P67" s="25">
        <f t="shared" si="231"/>
        <v>5</v>
      </c>
      <c r="Q67" s="25">
        <v>5</v>
      </c>
      <c r="R67" s="25">
        <v>0</v>
      </c>
      <c r="S67" s="25">
        <v>2</v>
      </c>
      <c r="T67" s="25">
        <v>3</v>
      </c>
      <c r="U67" s="25">
        <v>1</v>
      </c>
      <c r="V67" s="26">
        <f t="shared" si="232"/>
        <v>0</v>
      </c>
      <c r="W67" s="26">
        <f t="shared" si="233"/>
        <v>0</v>
      </c>
      <c r="X67" s="26">
        <f t="shared" si="234"/>
        <v>0</v>
      </c>
      <c r="Y67" s="26">
        <f t="shared" si="235"/>
        <v>0</v>
      </c>
      <c r="Z67" s="27">
        <f t="shared" si="236"/>
        <v>2.8999999999999995</v>
      </c>
      <c r="AA67" s="27" t="str">
        <f t="shared" ref="AA67:AA78" si="239">AA66</f>
        <v>REG</v>
      </c>
    </row>
    <row r="68" spans="1:539" ht="40" customHeight="1" x14ac:dyDescent="0.2">
      <c r="A68" s="7" t="str">
        <f t="shared" si="237"/>
        <v>LIGHTNING 1</v>
      </c>
      <c r="B68" s="7">
        <v>7</v>
      </c>
      <c r="C68" s="7">
        <f t="shared" si="238"/>
        <v>10</v>
      </c>
      <c r="D68" s="7" t="str">
        <f>D61</f>
        <v>Harry Coller</v>
      </c>
      <c r="E68" s="28">
        <v>16</v>
      </c>
      <c r="F68" s="28">
        <v>23</v>
      </c>
      <c r="G68" s="28">
        <v>2</v>
      </c>
      <c r="H68" s="28">
        <v>10</v>
      </c>
      <c r="I68" s="28">
        <f t="shared" si="229"/>
        <v>18</v>
      </c>
      <c r="J68" s="28">
        <f t="shared" si="229"/>
        <v>33</v>
      </c>
      <c r="K68" s="28">
        <v>0</v>
      </c>
      <c r="L68" s="28">
        <v>4</v>
      </c>
      <c r="M68" s="28">
        <v>2</v>
      </c>
      <c r="N68" s="28">
        <v>1</v>
      </c>
      <c r="O68" s="28">
        <f t="shared" si="230"/>
        <v>38</v>
      </c>
      <c r="P68" s="28">
        <f t="shared" si="231"/>
        <v>3</v>
      </c>
      <c r="Q68" s="28">
        <v>2</v>
      </c>
      <c r="R68" s="28">
        <v>1</v>
      </c>
      <c r="S68" s="28">
        <v>0</v>
      </c>
      <c r="T68" s="28">
        <v>2</v>
      </c>
      <c r="U68" s="28">
        <v>0</v>
      </c>
      <c r="V68" s="29">
        <f t="shared" si="232"/>
        <v>0.54545454545454541</v>
      </c>
      <c r="W68" s="29">
        <f t="shared" si="233"/>
        <v>0</v>
      </c>
      <c r="X68" s="29">
        <f t="shared" si="234"/>
        <v>0.69565217391304346</v>
      </c>
      <c r="Y68" s="29">
        <f t="shared" si="235"/>
        <v>0.2</v>
      </c>
      <c r="Z68" s="30">
        <f t="shared" si="236"/>
        <v>22.3</v>
      </c>
      <c r="AA68" s="30" t="str">
        <f t="shared" si="239"/>
        <v>REG</v>
      </c>
    </row>
    <row r="69" spans="1:539" ht="40" customHeight="1" x14ac:dyDescent="0.2">
      <c r="A69" s="7" t="str">
        <f t="shared" si="237"/>
        <v>LIGHTNING 1</v>
      </c>
      <c r="B69" s="7">
        <v>7</v>
      </c>
      <c r="C69" s="7">
        <f t="shared" si="238"/>
        <v>10</v>
      </c>
      <c r="D69" s="7" t="str">
        <f>D62</f>
        <v>Adam Blain</v>
      </c>
      <c r="E69" s="31">
        <v>2</v>
      </c>
      <c r="F69" s="31">
        <v>2</v>
      </c>
      <c r="G69" s="31">
        <v>0</v>
      </c>
      <c r="H69" s="31">
        <v>1</v>
      </c>
      <c r="I69" s="31">
        <f t="shared" si="229"/>
        <v>2</v>
      </c>
      <c r="J69" s="31">
        <f t="shared" si="229"/>
        <v>3</v>
      </c>
      <c r="K69" s="31">
        <v>2</v>
      </c>
      <c r="L69" s="31">
        <v>3</v>
      </c>
      <c r="M69" s="31">
        <v>2</v>
      </c>
      <c r="N69" s="31">
        <v>7</v>
      </c>
      <c r="O69" s="31">
        <f t="shared" si="230"/>
        <v>6</v>
      </c>
      <c r="P69" s="31">
        <f t="shared" si="231"/>
        <v>9</v>
      </c>
      <c r="Q69" s="31">
        <v>3</v>
      </c>
      <c r="R69" s="31">
        <v>2</v>
      </c>
      <c r="S69" s="31">
        <v>3</v>
      </c>
      <c r="T69" s="31">
        <v>3</v>
      </c>
      <c r="U69" s="31">
        <v>4</v>
      </c>
      <c r="V69" s="32">
        <f t="shared" si="232"/>
        <v>0.66666666666666663</v>
      </c>
      <c r="W69" s="32">
        <f t="shared" si="233"/>
        <v>0.66666666666666663</v>
      </c>
      <c r="X69" s="32">
        <f t="shared" si="234"/>
        <v>1</v>
      </c>
      <c r="Y69" s="32">
        <f t="shared" si="235"/>
        <v>0</v>
      </c>
      <c r="Z69" s="33">
        <f t="shared" si="236"/>
        <v>9.6999999999999993</v>
      </c>
      <c r="AA69" s="33" t="str">
        <f t="shared" si="239"/>
        <v>REG</v>
      </c>
    </row>
    <row r="70" spans="1:539" s="67" customFormat="1" ht="40" customHeight="1" x14ac:dyDescent="0.2">
      <c r="A70" s="66" t="str">
        <f>A69</f>
        <v>LIGHTNING 1</v>
      </c>
      <c r="B70" s="7">
        <f>B69</f>
        <v>7</v>
      </c>
      <c r="C70" s="7">
        <f>C69</f>
        <v>10</v>
      </c>
      <c r="D70" s="66" t="s">
        <v>31</v>
      </c>
      <c r="E70" s="17">
        <f>SUM(E65:E69)</f>
        <v>24</v>
      </c>
      <c r="F70" s="17">
        <f t="shared" ref="F70" si="240">SUM(F65:F69)</f>
        <v>39</v>
      </c>
      <c r="G70" s="17">
        <f t="shared" ref="G70" si="241">SUM(G65:G69)</f>
        <v>5</v>
      </c>
      <c r="H70" s="17">
        <f t="shared" ref="H70" si="242">SUM(H65:H69)</f>
        <v>22</v>
      </c>
      <c r="I70" s="17">
        <f t="shared" ref="I70" si="243">SUM(I65:I69)</f>
        <v>29</v>
      </c>
      <c r="J70" s="17">
        <f t="shared" ref="J70" si="244">SUM(J65:J69)</f>
        <v>61</v>
      </c>
      <c r="K70" s="17">
        <f t="shared" ref="K70" si="245">SUM(K65:K69)</f>
        <v>4</v>
      </c>
      <c r="L70" s="17">
        <f t="shared" ref="L70" si="246">SUM(L65:L69)</f>
        <v>9</v>
      </c>
      <c r="M70" s="17">
        <f t="shared" ref="M70" si="247">SUM(M65:M69)</f>
        <v>10</v>
      </c>
      <c r="N70" s="17">
        <f t="shared" ref="N70" si="248">SUM(N65:N69)</f>
        <v>22</v>
      </c>
      <c r="O70" s="17">
        <f t="shared" ref="O70" si="249">SUM(O65:O69)</f>
        <v>67</v>
      </c>
      <c r="P70" s="17">
        <f t="shared" ref="P70" si="250">SUM(P65:P69)</f>
        <v>32</v>
      </c>
      <c r="Q70" s="17">
        <f t="shared" ref="Q70" si="251">SUM(Q65:Q69)</f>
        <v>23</v>
      </c>
      <c r="R70" s="17">
        <f t="shared" ref="R70" si="252">SUM(R65:R69)</f>
        <v>3</v>
      </c>
      <c r="S70" s="17">
        <f t="shared" ref="S70" si="253">SUM(S65:S69)</f>
        <v>9</v>
      </c>
      <c r="T70" s="17">
        <f t="shared" ref="T70" si="254">SUM(T65:T69)</f>
        <v>14</v>
      </c>
      <c r="U70" s="17">
        <f t="shared" ref="U70" si="255">SUM(U65:U69)</f>
        <v>7</v>
      </c>
      <c r="V70" s="68">
        <f t="shared" si="232"/>
        <v>0.47540983606557374</v>
      </c>
      <c r="W70" s="68">
        <f t="shared" si="233"/>
        <v>0.44444444444444442</v>
      </c>
      <c r="X70" s="68">
        <f t="shared" si="234"/>
        <v>0.61538461538461542</v>
      </c>
      <c r="Y70" s="68">
        <f t="shared" si="235"/>
        <v>0.22727272727272727</v>
      </c>
      <c r="Z70" s="69">
        <f>AVERAGE(Z65:Z69)</f>
        <v>11.580000000000002</v>
      </c>
      <c r="AA70" s="69" t="str">
        <f t="shared" si="239"/>
        <v>REG</v>
      </c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  <c r="EL70" s="1"/>
      <c r="EM70" s="1"/>
      <c r="EN70" s="1"/>
      <c r="EO70" s="1"/>
      <c r="EP70" s="1"/>
      <c r="EQ70" s="1"/>
      <c r="ER70" s="1"/>
      <c r="ES70" s="1"/>
      <c r="ET70" s="1"/>
      <c r="EU70" s="1"/>
      <c r="EV70" s="1"/>
      <c r="EW70" s="1"/>
      <c r="EX70" s="1"/>
      <c r="EY70" s="1"/>
      <c r="EZ70" s="1"/>
      <c r="FA70" s="1"/>
      <c r="FB70" s="1"/>
      <c r="FC70" s="1"/>
      <c r="FD70" s="1"/>
      <c r="FE70" s="1"/>
      <c r="FF70" s="1"/>
      <c r="FG70" s="1"/>
      <c r="FH70" s="1"/>
      <c r="FI70" s="1"/>
      <c r="FJ70" s="1"/>
      <c r="FK70" s="1"/>
      <c r="FL70" s="1"/>
      <c r="FM70" s="1"/>
      <c r="FN70" s="1"/>
      <c r="FO70" s="1"/>
      <c r="FP70" s="1"/>
      <c r="FQ70" s="1"/>
      <c r="FR70" s="1"/>
      <c r="FS70" s="1"/>
      <c r="FT70" s="1"/>
      <c r="FU70" s="1"/>
      <c r="FV70" s="1"/>
      <c r="FW70" s="1"/>
      <c r="FX70" s="1"/>
      <c r="FY70" s="1"/>
      <c r="FZ70" s="1"/>
      <c r="GA70" s="1"/>
      <c r="GB70" s="1"/>
      <c r="GC70" s="1"/>
      <c r="GD70" s="1"/>
      <c r="GE70" s="1"/>
      <c r="GF70" s="1"/>
      <c r="GG70" s="1"/>
      <c r="GH70" s="1"/>
      <c r="GI70" s="1"/>
      <c r="GJ70" s="1"/>
      <c r="GK70" s="1"/>
      <c r="GL70" s="1"/>
      <c r="GM70" s="1"/>
      <c r="GN70" s="1"/>
      <c r="GO70" s="1"/>
      <c r="GP70" s="1"/>
      <c r="GQ70" s="1"/>
      <c r="GR70" s="1"/>
      <c r="GS70" s="1"/>
      <c r="GT70" s="1"/>
      <c r="GU70" s="1"/>
      <c r="GV70" s="1"/>
      <c r="GW70" s="1"/>
      <c r="GX70" s="1"/>
      <c r="GY70" s="1"/>
      <c r="GZ70" s="1"/>
      <c r="HA70" s="1"/>
      <c r="HB70" s="1"/>
      <c r="HC70" s="1"/>
      <c r="HD70" s="1"/>
      <c r="HE70" s="1"/>
      <c r="HF70" s="1"/>
      <c r="HG70" s="1"/>
      <c r="HH70" s="1"/>
      <c r="HI70" s="1"/>
      <c r="HJ70" s="1"/>
      <c r="HK70" s="1"/>
      <c r="HL70" s="1"/>
      <c r="HM70" s="1"/>
      <c r="HN70" s="1"/>
      <c r="HO70" s="1"/>
      <c r="HP70" s="1"/>
      <c r="HQ70" s="1"/>
      <c r="HR70" s="1"/>
      <c r="HS70" s="1"/>
      <c r="HT70" s="1"/>
      <c r="HU70" s="1"/>
      <c r="HV70" s="1"/>
      <c r="HW70" s="1"/>
      <c r="HX70" s="1"/>
      <c r="HY70" s="1"/>
      <c r="HZ70" s="1"/>
      <c r="IA70" s="1"/>
      <c r="IB70" s="1"/>
      <c r="IC70" s="1"/>
      <c r="ID70" s="1"/>
      <c r="IE70" s="1"/>
      <c r="IF70" s="1"/>
      <c r="IG70" s="1"/>
      <c r="IH70" s="1"/>
      <c r="II70" s="1"/>
      <c r="IJ70" s="1"/>
      <c r="IK70" s="1"/>
      <c r="IL70" s="1"/>
      <c r="IM70" s="1"/>
      <c r="IN70" s="1"/>
      <c r="IO70" s="1"/>
      <c r="IP70" s="1"/>
      <c r="IQ70" s="1"/>
      <c r="IR70" s="1"/>
      <c r="IS70" s="1"/>
      <c r="IT70" s="1"/>
      <c r="IU70" s="1"/>
      <c r="IV70" s="1"/>
      <c r="IW70" s="1"/>
      <c r="IX70" s="1"/>
      <c r="IY70" s="1"/>
      <c r="IZ70" s="1"/>
      <c r="JA70" s="1"/>
      <c r="JB70" s="1"/>
      <c r="JC70" s="1"/>
      <c r="JD70" s="1"/>
      <c r="JE70" s="1"/>
      <c r="JF70" s="1"/>
      <c r="JG70" s="1"/>
      <c r="JH70" s="1"/>
      <c r="JI70" s="1"/>
      <c r="JJ70" s="1"/>
      <c r="JK70" s="1"/>
      <c r="JL70" s="1"/>
      <c r="JM70" s="1"/>
      <c r="JN70" s="1"/>
      <c r="JO70" s="1"/>
      <c r="JP70" s="1"/>
      <c r="JQ70" s="1"/>
      <c r="JR70" s="1"/>
      <c r="JS70" s="1"/>
      <c r="JT70" s="1"/>
      <c r="JU70" s="1"/>
      <c r="JV70" s="1"/>
      <c r="JW70" s="1"/>
      <c r="JX70" s="50"/>
      <c r="JY70" s="48"/>
      <c r="JZ70" s="48"/>
      <c r="KA70" s="48"/>
      <c r="KB70" s="48"/>
      <c r="KC70" s="48"/>
      <c r="KD70" s="48"/>
      <c r="KE70" s="48"/>
      <c r="KF70" s="48"/>
      <c r="KG70" s="48"/>
      <c r="KH70" s="48"/>
      <c r="KI70" s="48"/>
      <c r="KJ70" s="48"/>
      <c r="KK70" s="48"/>
      <c r="KL70" s="48"/>
      <c r="KM70" s="48"/>
      <c r="KN70" s="48"/>
      <c r="KO70" s="48"/>
      <c r="KP70" s="46"/>
      <c r="KQ70" s="46"/>
      <c r="KR70" s="46"/>
      <c r="KS70" s="46"/>
      <c r="KT70" s="47"/>
      <c r="KU70" s="50"/>
      <c r="KV70" s="48"/>
      <c r="KW70" s="48"/>
      <c r="KX70" s="48"/>
      <c r="KY70" s="48"/>
      <c r="KZ70" s="48"/>
      <c r="LA70" s="48"/>
      <c r="LB70" s="48"/>
      <c r="LC70" s="48"/>
      <c r="LD70" s="48"/>
      <c r="LE70" s="48"/>
      <c r="LF70" s="48"/>
      <c r="LG70" s="48"/>
      <c r="LH70" s="48"/>
      <c r="LI70" s="48"/>
      <c r="LJ70" s="48"/>
      <c r="LK70" s="48"/>
      <c r="LL70" s="48"/>
      <c r="LM70" s="46"/>
      <c r="LN70" s="46"/>
      <c r="LO70" s="46"/>
      <c r="LP70" s="46"/>
      <c r="LQ70" s="47"/>
      <c r="LR70" s="50"/>
      <c r="LS70" s="48"/>
      <c r="LT70" s="48"/>
      <c r="LU70" s="48"/>
      <c r="LV70" s="48"/>
      <c r="LW70" s="48"/>
      <c r="LX70" s="48"/>
      <c r="LY70" s="48"/>
      <c r="LZ70" s="48"/>
      <c r="MA70" s="48"/>
      <c r="MB70" s="48"/>
      <c r="MC70" s="48"/>
      <c r="MD70" s="48"/>
      <c r="ME70" s="48"/>
      <c r="MF70" s="48"/>
      <c r="MG70" s="48"/>
      <c r="MH70" s="48"/>
      <c r="MI70" s="48"/>
      <c r="MJ70" s="46"/>
      <c r="MK70" s="46"/>
      <c r="ML70" s="46"/>
      <c r="MM70" s="46"/>
      <c r="MN70" s="47"/>
      <c r="MO70" s="50"/>
      <c r="MP70" s="48"/>
      <c r="MQ70" s="48"/>
      <c r="MR70" s="48"/>
      <c r="MS70" s="48"/>
      <c r="MT70" s="48"/>
      <c r="MU70" s="48"/>
      <c r="MV70" s="48"/>
      <c r="MW70" s="48"/>
      <c r="MX70" s="48"/>
      <c r="MY70" s="48"/>
      <c r="MZ70" s="48"/>
      <c r="NA70" s="48"/>
      <c r="NB70" s="48"/>
      <c r="NC70" s="48"/>
      <c r="ND70" s="48"/>
      <c r="NE70" s="48"/>
      <c r="NF70" s="48"/>
      <c r="NG70" s="46"/>
      <c r="NH70" s="46"/>
      <c r="NI70" s="46"/>
      <c r="NJ70" s="46"/>
      <c r="NK70" s="47"/>
      <c r="NL70" s="50"/>
      <c r="NM70" s="48"/>
      <c r="NN70" s="48"/>
      <c r="NO70" s="48"/>
      <c r="NP70" s="48"/>
      <c r="NQ70" s="48"/>
      <c r="NR70" s="48"/>
      <c r="NS70" s="48"/>
      <c r="NT70" s="48"/>
      <c r="NU70" s="48"/>
      <c r="NV70" s="48"/>
      <c r="NW70" s="48"/>
      <c r="NX70" s="48"/>
      <c r="NY70" s="48"/>
      <c r="NZ70" s="48"/>
      <c r="OA70" s="48"/>
      <c r="OB70" s="48"/>
      <c r="OC70" s="48"/>
      <c r="OD70" s="46"/>
      <c r="OE70" s="46"/>
      <c r="OF70" s="46"/>
      <c r="OG70" s="46"/>
      <c r="OH70" s="47"/>
      <c r="OI70" s="50"/>
      <c r="OJ70" s="48"/>
      <c r="OK70" s="48"/>
      <c r="OL70" s="48"/>
      <c r="OM70" s="48"/>
      <c r="ON70" s="48"/>
      <c r="OO70" s="48"/>
      <c r="OP70" s="48"/>
      <c r="OQ70" s="48"/>
      <c r="OR70" s="48"/>
      <c r="OS70" s="48"/>
      <c r="OT70" s="48"/>
      <c r="OU70" s="48"/>
      <c r="OV70" s="48"/>
      <c r="OW70" s="48"/>
      <c r="OX70" s="48"/>
      <c r="OY70" s="48"/>
      <c r="OZ70" s="48"/>
      <c r="PA70" s="46"/>
      <c r="PB70" s="46"/>
      <c r="PC70" s="46"/>
      <c r="PD70" s="46"/>
      <c r="PE70" s="47"/>
      <c r="PF70" s="50"/>
      <c r="PG70" s="48"/>
      <c r="PH70" s="48"/>
      <c r="PI70" s="48"/>
      <c r="PJ70" s="48"/>
      <c r="PK70" s="48"/>
      <c r="PL70" s="48"/>
      <c r="PM70" s="48"/>
      <c r="PN70" s="48"/>
      <c r="PO70" s="48"/>
      <c r="PP70" s="48"/>
      <c r="PQ70" s="48"/>
      <c r="PR70" s="48"/>
      <c r="PS70" s="48"/>
      <c r="PT70" s="48"/>
      <c r="PU70" s="48"/>
      <c r="PV70" s="48"/>
      <c r="PW70" s="48"/>
      <c r="PX70" s="46"/>
      <c r="PY70" s="46"/>
      <c r="PZ70" s="46"/>
      <c r="QA70" s="46"/>
      <c r="QB70" s="47"/>
      <c r="QC70" s="50"/>
      <c r="QD70" s="48"/>
      <c r="QE70" s="48"/>
      <c r="QF70" s="48"/>
      <c r="QG70" s="48"/>
      <c r="QH70" s="48"/>
      <c r="QI70" s="48"/>
      <c r="QJ70" s="48"/>
      <c r="QK70" s="48"/>
      <c r="QL70" s="48"/>
      <c r="QM70" s="48"/>
      <c r="QN70" s="48"/>
      <c r="QO70" s="48"/>
      <c r="QP70" s="48"/>
      <c r="QQ70" s="48"/>
      <c r="QR70" s="48"/>
      <c r="QS70" s="48"/>
      <c r="QT70" s="48"/>
      <c r="QU70" s="46"/>
      <c r="QV70" s="46"/>
      <c r="QW70" s="46"/>
      <c r="QX70" s="46"/>
      <c r="QY70" s="47"/>
      <c r="QZ70" s="1"/>
      <c r="RA70" s="1"/>
      <c r="RB70" s="1"/>
      <c r="RC70" s="1"/>
      <c r="RD70" s="1"/>
      <c r="RE70" s="1"/>
      <c r="RF70" s="1"/>
      <c r="RG70" s="1"/>
      <c r="RH70" s="1"/>
      <c r="RI70" s="1"/>
      <c r="RJ70" s="1"/>
      <c r="RK70" s="1"/>
      <c r="RL70" s="1"/>
      <c r="RM70" s="1"/>
      <c r="RN70" s="1"/>
      <c r="RO70" s="1"/>
      <c r="RP70" s="1"/>
      <c r="RQ70" s="1"/>
      <c r="RR70" s="1"/>
      <c r="RS70" s="1"/>
      <c r="RT70" s="1"/>
      <c r="RU70" s="1"/>
      <c r="RV70" s="1"/>
      <c r="RW70" s="1"/>
      <c r="RX70" s="1"/>
      <c r="RY70" s="1"/>
      <c r="RZ70" s="1"/>
      <c r="SA70" s="1"/>
      <c r="SB70" s="1"/>
      <c r="SC70" s="1"/>
      <c r="SD70" s="1"/>
      <c r="SE70" s="1"/>
      <c r="SF70" s="1"/>
      <c r="SG70" s="1"/>
      <c r="SH70" s="1"/>
      <c r="SI70" s="1"/>
      <c r="SJ70" s="1"/>
      <c r="SK70" s="1"/>
      <c r="SL70" s="1"/>
      <c r="SM70" s="1"/>
      <c r="SN70" s="1"/>
      <c r="SO70" s="1"/>
      <c r="SP70" s="1"/>
      <c r="SQ70" s="1"/>
      <c r="SR70" s="1"/>
      <c r="SS70" s="1"/>
      <c r="ST70" s="1"/>
      <c r="SU70" s="1"/>
      <c r="SV70" s="1"/>
      <c r="SW70" s="1"/>
      <c r="SX70" s="1"/>
      <c r="SY70" s="1"/>
      <c r="SZ70" s="1"/>
      <c r="TA70" s="1"/>
      <c r="TB70" s="1"/>
      <c r="TC70" s="1"/>
      <c r="TD70" s="1"/>
      <c r="TE70" s="1"/>
      <c r="TF70" s="1"/>
      <c r="TG70" s="1"/>
      <c r="TH70" s="1"/>
      <c r="TI70" s="1"/>
      <c r="TJ70" s="1"/>
      <c r="TK70" s="1"/>
      <c r="TL70" s="1"/>
      <c r="TM70" s="1"/>
      <c r="TN70" s="1"/>
      <c r="TO70" s="1"/>
      <c r="TP70" s="1"/>
      <c r="TQ70" s="1"/>
      <c r="TR70" s="1"/>
      <c r="TS70" s="1"/>
    </row>
    <row r="71" spans="1:539" ht="40" customHeight="1" x14ac:dyDescent="0.2">
      <c r="A71" s="34" t="s">
        <v>30</v>
      </c>
      <c r="B71" s="7">
        <v>7</v>
      </c>
      <c r="C71" s="7">
        <f>C69</f>
        <v>10</v>
      </c>
      <c r="D71" s="34" t="s">
        <v>28</v>
      </c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>
        <v>73</v>
      </c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 t="str">
        <f t="shared" si="239"/>
        <v>REG</v>
      </c>
    </row>
    <row r="72" spans="1:539" ht="40" customHeight="1" x14ac:dyDescent="0.2">
      <c r="A72" s="7" t="str">
        <f>D78</f>
        <v>SAINTS</v>
      </c>
      <c r="B72" s="7">
        <v>7</v>
      </c>
      <c r="C72" s="7">
        <f>C65+1</f>
        <v>11</v>
      </c>
      <c r="D72" s="7" t="str">
        <f>D65</f>
        <v>Lachlan Farley</v>
      </c>
      <c r="E72" s="19">
        <v>6</v>
      </c>
      <c r="F72" s="19">
        <v>9</v>
      </c>
      <c r="G72" s="19">
        <v>1</v>
      </c>
      <c r="H72" s="19">
        <v>8</v>
      </c>
      <c r="I72" s="19">
        <f>E72+G72</f>
        <v>7</v>
      </c>
      <c r="J72" s="19">
        <f>F72+H72</f>
        <v>17</v>
      </c>
      <c r="K72" s="19">
        <v>0</v>
      </c>
      <c r="L72" s="19">
        <v>0</v>
      </c>
      <c r="M72" s="19">
        <v>6</v>
      </c>
      <c r="N72" s="19">
        <v>14</v>
      </c>
      <c r="O72" s="19">
        <f>E72*2+G72*3+K72</f>
        <v>15</v>
      </c>
      <c r="P72" s="19">
        <f>M72+N72</f>
        <v>20</v>
      </c>
      <c r="Q72" s="19">
        <v>8</v>
      </c>
      <c r="R72" s="19">
        <v>0</v>
      </c>
      <c r="S72" s="19">
        <v>1</v>
      </c>
      <c r="T72" s="19">
        <v>6</v>
      </c>
      <c r="U72" s="19">
        <v>1</v>
      </c>
      <c r="V72" s="20">
        <f>IFERROR(I72/J72,0)</f>
        <v>0.41176470588235292</v>
      </c>
      <c r="W72" s="20">
        <f>IFERROR(K72/L72,0)</f>
        <v>0</v>
      </c>
      <c r="X72" s="20">
        <f>IFERROR(E72/F72,0)</f>
        <v>0.66666666666666663</v>
      </c>
      <c r="Y72" s="20">
        <f>IFERROR(G72/H72,0)</f>
        <v>0.125</v>
      </c>
      <c r="Z72" s="21">
        <f>(O72)+(0.4*I72)-(0.7*J72)-(0.4*(L72-K72))+(0.7*M72)+(0.3*N72)+S72+(0.7*Q72)+(0.7*R72)-(0.4*U72)-T72</f>
        <v>14.5</v>
      </c>
      <c r="AA72" s="21" t="s">
        <v>33</v>
      </c>
    </row>
    <row r="73" spans="1:539" ht="40" customHeight="1" x14ac:dyDescent="0.2">
      <c r="A73" s="7" t="str">
        <f>A72</f>
        <v>SAINTS</v>
      </c>
      <c r="B73" s="7">
        <v>7</v>
      </c>
      <c r="C73" s="7">
        <f>C72</f>
        <v>11</v>
      </c>
      <c r="D73" s="7" t="str">
        <f>D66</f>
        <v>Josh Huxtable</v>
      </c>
      <c r="E73" s="22">
        <v>2</v>
      </c>
      <c r="F73" s="22">
        <v>2</v>
      </c>
      <c r="G73" s="22">
        <v>1</v>
      </c>
      <c r="H73" s="22">
        <v>8</v>
      </c>
      <c r="I73" s="22">
        <f t="shared" ref="I73:J76" si="256">E73+G73</f>
        <v>3</v>
      </c>
      <c r="J73" s="22">
        <f t="shared" si="256"/>
        <v>10</v>
      </c>
      <c r="K73" s="22">
        <v>0</v>
      </c>
      <c r="L73" s="22">
        <v>0</v>
      </c>
      <c r="M73" s="22">
        <v>1</v>
      </c>
      <c r="N73" s="22">
        <v>10</v>
      </c>
      <c r="O73" s="22">
        <f t="shared" ref="O73:O76" si="257">E73*2+G73*3+K73</f>
        <v>7</v>
      </c>
      <c r="P73" s="22">
        <f>M73+N73</f>
        <v>11</v>
      </c>
      <c r="Q73" s="22">
        <v>12</v>
      </c>
      <c r="R73" s="22">
        <v>0</v>
      </c>
      <c r="S73" s="22">
        <v>0</v>
      </c>
      <c r="T73" s="22">
        <v>1</v>
      </c>
      <c r="U73" s="22">
        <v>2</v>
      </c>
      <c r="V73" s="23">
        <f t="shared" ref="V73:V77" si="258">IFERROR(I73/J73,0)</f>
        <v>0.3</v>
      </c>
      <c r="W73" s="23">
        <f t="shared" ref="W73:W77" si="259">IFERROR(K73/L73,0)</f>
        <v>0</v>
      </c>
      <c r="X73" s="23">
        <f t="shared" ref="X73:X77" si="260">IFERROR(E73/F73,0)</f>
        <v>1</v>
      </c>
      <c r="Y73" s="23">
        <f t="shared" ref="Y73:Y77" si="261">IFERROR(G73/H73,0)</f>
        <v>0.125</v>
      </c>
      <c r="Z73" s="24">
        <f t="shared" ref="Z73:Z76" si="262">(O73)+(0.4*I73)-(0.7*J73)-(0.4*(L73-K73))+(0.7*M73)+(0.3*N73)+S73+(0.7*Q73)+(0.7*R73)-(0.4*U73)-T73</f>
        <v>11.499999999999996</v>
      </c>
      <c r="AA73" s="24" t="str">
        <f>AA72</f>
        <v>REG</v>
      </c>
    </row>
    <row r="74" spans="1:539" ht="40" customHeight="1" x14ac:dyDescent="0.2">
      <c r="A74" s="7" t="str">
        <f t="shared" ref="A74:A76" si="263">A73</f>
        <v>SAINTS</v>
      </c>
      <c r="B74" s="7">
        <v>7</v>
      </c>
      <c r="C74" s="7">
        <f t="shared" ref="C74:C76" si="264">C73</f>
        <v>11</v>
      </c>
      <c r="D74" s="7" t="str">
        <f>D67</f>
        <v>Darcy Bishop</v>
      </c>
      <c r="E74" s="25">
        <v>22</v>
      </c>
      <c r="F74" s="25">
        <v>36</v>
      </c>
      <c r="G74" s="25">
        <v>1</v>
      </c>
      <c r="H74" s="25">
        <v>15</v>
      </c>
      <c r="I74" s="25">
        <f t="shared" si="256"/>
        <v>23</v>
      </c>
      <c r="J74" s="25">
        <f t="shared" si="256"/>
        <v>51</v>
      </c>
      <c r="K74" s="25">
        <v>3</v>
      </c>
      <c r="L74" s="25">
        <v>3</v>
      </c>
      <c r="M74" s="25">
        <v>7</v>
      </c>
      <c r="N74" s="25">
        <v>1</v>
      </c>
      <c r="O74" s="25">
        <f t="shared" si="257"/>
        <v>50</v>
      </c>
      <c r="P74" s="25">
        <f t="shared" ref="P74:P76" si="265">M74+N74</f>
        <v>8</v>
      </c>
      <c r="Q74" s="25">
        <v>1</v>
      </c>
      <c r="R74" s="25">
        <v>0</v>
      </c>
      <c r="S74" s="25">
        <v>2</v>
      </c>
      <c r="T74" s="25">
        <v>1</v>
      </c>
      <c r="U74" s="25">
        <v>0</v>
      </c>
      <c r="V74" s="26">
        <f t="shared" si="258"/>
        <v>0.45098039215686275</v>
      </c>
      <c r="W74" s="26">
        <f t="shared" si="259"/>
        <v>1</v>
      </c>
      <c r="X74" s="26">
        <f t="shared" si="260"/>
        <v>0.61111111111111116</v>
      </c>
      <c r="Y74" s="26">
        <f t="shared" si="261"/>
        <v>6.6666666666666666E-2</v>
      </c>
      <c r="Z74" s="27">
        <f t="shared" si="262"/>
        <v>30.400000000000006</v>
      </c>
      <c r="AA74" s="27" t="str">
        <f t="shared" si="239"/>
        <v>REG</v>
      </c>
    </row>
    <row r="75" spans="1:539" ht="40" customHeight="1" x14ac:dyDescent="0.2">
      <c r="A75" s="7" t="str">
        <f t="shared" si="263"/>
        <v>SAINTS</v>
      </c>
      <c r="B75" s="7">
        <v>7</v>
      </c>
      <c r="C75" s="7">
        <f t="shared" si="264"/>
        <v>11</v>
      </c>
      <c r="D75" s="7" t="str">
        <f>D68</f>
        <v>Harry Coller</v>
      </c>
      <c r="E75" s="28">
        <v>6</v>
      </c>
      <c r="F75" s="28">
        <v>8</v>
      </c>
      <c r="G75" s="28">
        <v>9</v>
      </c>
      <c r="H75" s="28">
        <v>18</v>
      </c>
      <c r="I75" s="28">
        <f t="shared" si="256"/>
        <v>15</v>
      </c>
      <c r="J75" s="28">
        <f t="shared" si="256"/>
        <v>26</v>
      </c>
      <c r="K75" s="28">
        <v>0</v>
      </c>
      <c r="L75" s="28">
        <v>0</v>
      </c>
      <c r="M75" s="28">
        <v>6</v>
      </c>
      <c r="N75" s="28">
        <v>15</v>
      </c>
      <c r="O75" s="28">
        <f t="shared" si="257"/>
        <v>39</v>
      </c>
      <c r="P75" s="28">
        <f t="shared" si="265"/>
        <v>21</v>
      </c>
      <c r="Q75" s="28">
        <v>9</v>
      </c>
      <c r="R75" s="28">
        <v>0</v>
      </c>
      <c r="S75" s="28">
        <v>1</v>
      </c>
      <c r="T75" s="28">
        <v>1</v>
      </c>
      <c r="U75" s="28">
        <v>0</v>
      </c>
      <c r="V75" s="29">
        <f t="shared" si="258"/>
        <v>0.57692307692307687</v>
      </c>
      <c r="W75" s="29">
        <f t="shared" si="259"/>
        <v>0</v>
      </c>
      <c r="X75" s="29">
        <f t="shared" si="260"/>
        <v>0.75</v>
      </c>
      <c r="Y75" s="29">
        <f t="shared" si="261"/>
        <v>0.5</v>
      </c>
      <c r="Z75" s="30">
        <f t="shared" si="262"/>
        <v>41.8</v>
      </c>
      <c r="AA75" s="30" t="str">
        <f t="shared" si="239"/>
        <v>REG</v>
      </c>
    </row>
    <row r="76" spans="1:539" ht="40" customHeight="1" x14ac:dyDescent="0.2">
      <c r="A76" s="7" t="str">
        <f t="shared" si="263"/>
        <v>SAINTS</v>
      </c>
      <c r="B76" s="7">
        <v>7</v>
      </c>
      <c r="C76" s="7">
        <f t="shared" si="264"/>
        <v>11</v>
      </c>
      <c r="D76" s="7" t="str">
        <f>D69</f>
        <v>Adam Blain</v>
      </c>
      <c r="E76" s="31">
        <v>0</v>
      </c>
      <c r="F76" s="31">
        <v>1</v>
      </c>
      <c r="G76" s="31">
        <v>0</v>
      </c>
      <c r="H76" s="31">
        <v>1</v>
      </c>
      <c r="I76" s="31">
        <f t="shared" si="256"/>
        <v>0</v>
      </c>
      <c r="J76" s="31">
        <f t="shared" si="256"/>
        <v>2</v>
      </c>
      <c r="K76" s="31">
        <v>1</v>
      </c>
      <c r="L76" s="31">
        <v>2</v>
      </c>
      <c r="M76" s="31">
        <v>1</v>
      </c>
      <c r="N76" s="31">
        <v>4</v>
      </c>
      <c r="O76" s="31">
        <f t="shared" si="257"/>
        <v>1</v>
      </c>
      <c r="P76" s="31">
        <f t="shared" si="265"/>
        <v>5</v>
      </c>
      <c r="Q76" s="31">
        <v>3</v>
      </c>
      <c r="R76" s="31">
        <v>0</v>
      </c>
      <c r="S76" s="31">
        <v>1</v>
      </c>
      <c r="T76" s="31">
        <v>1</v>
      </c>
      <c r="U76" s="31">
        <v>0</v>
      </c>
      <c r="V76" s="32">
        <f t="shared" si="258"/>
        <v>0</v>
      </c>
      <c r="W76" s="32">
        <f t="shared" si="259"/>
        <v>0.5</v>
      </c>
      <c r="X76" s="32">
        <f t="shared" si="260"/>
        <v>0</v>
      </c>
      <c r="Y76" s="32">
        <f t="shared" si="261"/>
        <v>0</v>
      </c>
      <c r="Z76" s="33">
        <f t="shared" si="262"/>
        <v>3.1999999999999993</v>
      </c>
      <c r="AA76" s="33" t="str">
        <f t="shared" si="239"/>
        <v>REG</v>
      </c>
    </row>
    <row r="77" spans="1:539" s="67" customFormat="1" ht="40" customHeight="1" x14ac:dyDescent="0.2">
      <c r="A77" s="66" t="str">
        <f>A76</f>
        <v>SAINTS</v>
      </c>
      <c r="B77" s="7">
        <f>B76</f>
        <v>7</v>
      </c>
      <c r="C77" s="7">
        <f>C76</f>
        <v>11</v>
      </c>
      <c r="D77" s="66" t="s">
        <v>31</v>
      </c>
      <c r="E77" s="17">
        <f>SUM(E72:E76)</f>
        <v>36</v>
      </c>
      <c r="F77" s="17">
        <f t="shared" ref="F77" si="266">SUM(F72:F76)</f>
        <v>56</v>
      </c>
      <c r="G77" s="17">
        <f t="shared" ref="G77" si="267">SUM(G72:G76)</f>
        <v>12</v>
      </c>
      <c r="H77" s="17">
        <f t="shared" ref="H77" si="268">SUM(H72:H76)</f>
        <v>50</v>
      </c>
      <c r="I77" s="17">
        <f t="shared" ref="I77" si="269">SUM(I72:I76)</f>
        <v>48</v>
      </c>
      <c r="J77" s="17">
        <f t="shared" ref="J77" si="270">SUM(J72:J76)</f>
        <v>106</v>
      </c>
      <c r="K77" s="17">
        <f t="shared" ref="K77" si="271">SUM(K72:K76)</f>
        <v>4</v>
      </c>
      <c r="L77" s="17">
        <f t="shared" ref="L77" si="272">SUM(L72:L76)</f>
        <v>5</v>
      </c>
      <c r="M77" s="17">
        <f t="shared" ref="M77" si="273">SUM(M72:M76)</f>
        <v>21</v>
      </c>
      <c r="N77" s="17">
        <f t="shared" ref="N77" si="274">SUM(N72:N76)</f>
        <v>44</v>
      </c>
      <c r="O77" s="17">
        <f t="shared" ref="O77" si="275">SUM(O72:O76)</f>
        <v>112</v>
      </c>
      <c r="P77" s="17">
        <f t="shared" ref="P77" si="276">SUM(P72:P76)</f>
        <v>65</v>
      </c>
      <c r="Q77" s="17">
        <f t="shared" ref="Q77" si="277">SUM(Q72:Q76)</f>
        <v>33</v>
      </c>
      <c r="R77" s="17">
        <f t="shared" ref="R77" si="278">SUM(R72:R76)</f>
        <v>0</v>
      </c>
      <c r="S77" s="17">
        <f t="shared" ref="S77" si="279">SUM(S72:S76)</f>
        <v>5</v>
      </c>
      <c r="T77" s="17">
        <f t="shared" ref="T77" si="280">SUM(T72:T76)</f>
        <v>10</v>
      </c>
      <c r="U77" s="17">
        <f t="shared" ref="U77" si="281">SUM(U72:U76)</f>
        <v>3</v>
      </c>
      <c r="V77" s="68">
        <f t="shared" si="258"/>
        <v>0.45283018867924529</v>
      </c>
      <c r="W77" s="68">
        <f t="shared" si="259"/>
        <v>0.8</v>
      </c>
      <c r="X77" s="68">
        <f t="shared" si="260"/>
        <v>0.6428571428571429</v>
      </c>
      <c r="Y77" s="68">
        <f t="shared" si="261"/>
        <v>0.24</v>
      </c>
      <c r="Z77" s="69">
        <f>AVERAGE(Z72:Z76)</f>
        <v>20.28</v>
      </c>
      <c r="AA77" s="69" t="str">
        <f t="shared" si="239"/>
        <v>REG</v>
      </c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  <c r="FF77" s="1"/>
      <c r="FG77" s="1"/>
      <c r="FH77" s="1"/>
      <c r="FI77" s="1"/>
      <c r="FJ77" s="1"/>
      <c r="FK77" s="1"/>
      <c r="FL77" s="1"/>
      <c r="FM77" s="1"/>
      <c r="FN77" s="1"/>
      <c r="FO77" s="1"/>
      <c r="FP77" s="1"/>
      <c r="FQ77" s="1"/>
      <c r="FR77" s="1"/>
      <c r="FS77" s="1"/>
      <c r="FT77" s="1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  <c r="GF77" s="1"/>
      <c r="GG77" s="1"/>
      <c r="GH77" s="1"/>
      <c r="GI77" s="1"/>
      <c r="GJ77" s="1"/>
      <c r="GK77" s="1"/>
      <c r="GL77" s="1"/>
      <c r="GM77" s="1"/>
      <c r="GN77" s="1"/>
      <c r="GO77" s="1"/>
      <c r="GP77" s="1"/>
      <c r="GQ77" s="1"/>
      <c r="GR77" s="1"/>
      <c r="GS77" s="1"/>
      <c r="GT77" s="1"/>
      <c r="GU77" s="1"/>
      <c r="GV77" s="1"/>
      <c r="GW77" s="1"/>
      <c r="GX77" s="1"/>
      <c r="GY77" s="1"/>
      <c r="GZ77" s="1"/>
      <c r="HA77" s="1"/>
      <c r="HB77" s="1"/>
      <c r="HC77" s="1"/>
      <c r="HD77" s="1"/>
      <c r="HE77" s="1"/>
      <c r="HF77" s="1"/>
      <c r="HG77" s="1"/>
      <c r="HH77" s="1"/>
      <c r="HI77" s="1"/>
      <c r="HJ77" s="1"/>
      <c r="HK77" s="1"/>
      <c r="HL77" s="1"/>
      <c r="HM77" s="1"/>
      <c r="HN77" s="1"/>
      <c r="HO77" s="1"/>
      <c r="HP77" s="1"/>
      <c r="HQ77" s="1"/>
      <c r="HR77" s="1"/>
      <c r="HS77" s="1"/>
      <c r="HT77" s="1"/>
      <c r="HU77" s="1"/>
      <c r="HV77" s="1"/>
      <c r="HW77" s="1"/>
      <c r="HX77" s="1"/>
      <c r="HY77" s="1"/>
      <c r="HZ77" s="1"/>
      <c r="IA77" s="1"/>
      <c r="IB77" s="1"/>
      <c r="IC77" s="1"/>
      <c r="ID77" s="1"/>
      <c r="IE77" s="1"/>
      <c r="IF77" s="1"/>
      <c r="IG77" s="1"/>
      <c r="IH77" s="1"/>
      <c r="II77" s="1"/>
      <c r="IJ77" s="1"/>
      <c r="IK77" s="1"/>
      <c r="IL77" s="1"/>
      <c r="IM77" s="1"/>
      <c r="IN77" s="1"/>
      <c r="IO77" s="1"/>
      <c r="IP77" s="1"/>
      <c r="IQ77" s="1"/>
      <c r="IR77" s="1"/>
      <c r="IS77" s="1"/>
      <c r="IT77" s="1"/>
      <c r="IU77" s="1"/>
      <c r="IV77" s="1"/>
      <c r="IW77" s="1"/>
      <c r="IX77" s="1"/>
      <c r="IY77" s="1"/>
      <c r="IZ77" s="1"/>
      <c r="JA77" s="1"/>
      <c r="JB77" s="1"/>
      <c r="JC77" s="1"/>
      <c r="JD77" s="1"/>
      <c r="JE77" s="1"/>
      <c r="JF77" s="1"/>
      <c r="JG77" s="1"/>
      <c r="JH77" s="1"/>
      <c r="JI77" s="1"/>
      <c r="JJ77" s="1"/>
      <c r="JK77" s="1"/>
      <c r="JL77" s="1"/>
      <c r="JM77" s="1"/>
      <c r="JN77" s="1"/>
      <c r="JO77" s="1"/>
      <c r="JP77" s="1"/>
      <c r="JQ77" s="1"/>
      <c r="JR77" s="1"/>
      <c r="JS77" s="1"/>
      <c r="JT77" s="1"/>
      <c r="JU77" s="1"/>
      <c r="JV77" s="1"/>
      <c r="JW77" s="1"/>
      <c r="JX77" s="50"/>
      <c r="JY77" s="48"/>
      <c r="JZ77" s="48"/>
      <c r="KA77" s="48"/>
      <c r="KB77" s="48"/>
      <c r="KC77" s="48"/>
      <c r="KD77" s="48"/>
      <c r="KE77" s="48"/>
      <c r="KF77" s="48"/>
      <c r="KG77" s="48"/>
      <c r="KH77" s="48"/>
      <c r="KI77" s="48"/>
      <c r="KJ77" s="48"/>
      <c r="KK77" s="48"/>
      <c r="KL77" s="48"/>
      <c r="KM77" s="48"/>
      <c r="KN77" s="48"/>
      <c r="KO77" s="48"/>
      <c r="KP77" s="46"/>
      <c r="KQ77" s="46"/>
      <c r="KR77" s="46"/>
      <c r="KS77" s="46"/>
      <c r="KT77" s="47"/>
      <c r="KU77" s="50"/>
      <c r="KV77" s="48"/>
      <c r="KW77" s="48"/>
      <c r="KX77" s="48"/>
      <c r="KY77" s="48"/>
      <c r="KZ77" s="48"/>
      <c r="LA77" s="48"/>
      <c r="LB77" s="48"/>
      <c r="LC77" s="48"/>
      <c r="LD77" s="48"/>
      <c r="LE77" s="48"/>
      <c r="LF77" s="48"/>
      <c r="LG77" s="48"/>
      <c r="LH77" s="48"/>
      <c r="LI77" s="48"/>
      <c r="LJ77" s="48"/>
      <c r="LK77" s="48"/>
      <c r="LL77" s="48"/>
      <c r="LM77" s="46"/>
      <c r="LN77" s="46"/>
      <c r="LO77" s="46"/>
      <c r="LP77" s="46"/>
      <c r="LQ77" s="47"/>
      <c r="LR77" s="50"/>
      <c r="LS77" s="48"/>
      <c r="LT77" s="48"/>
      <c r="LU77" s="48"/>
      <c r="LV77" s="48"/>
      <c r="LW77" s="48"/>
      <c r="LX77" s="48"/>
      <c r="LY77" s="48"/>
      <c r="LZ77" s="48"/>
      <c r="MA77" s="48"/>
      <c r="MB77" s="48"/>
      <c r="MC77" s="48"/>
      <c r="MD77" s="48"/>
      <c r="ME77" s="48"/>
      <c r="MF77" s="48"/>
      <c r="MG77" s="48"/>
      <c r="MH77" s="48"/>
      <c r="MI77" s="48"/>
      <c r="MJ77" s="46"/>
      <c r="MK77" s="46"/>
      <c r="ML77" s="46"/>
      <c r="MM77" s="46"/>
      <c r="MN77" s="47"/>
      <c r="MO77" s="50"/>
      <c r="MP77" s="48"/>
      <c r="MQ77" s="48"/>
      <c r="MR77" s="48"/>
      <c r="MS77" s="48"/>
      <c r="MT77" s="48"/>
      <c r="MU77" s="48"/>
      <c r="MV77" s="48"/>
      <c r="MW77" s="48"/>
      <c r="MX77" s="48"/>
      <c r="MY77" s="48"/>
      <c r="MZ77" s="48"/>
      <c r="NA77" s="48"/>
      <c r="NB77" s="48"/>
      <c r="NC77" s="48"/>
      <c r="ND77" s="48"/>
      <c r="NE77" s="48"/>
      <c r="NF77" s="48"/>
      <c r="NG77" s="46"/>
      <c r="NH77" s="46"/>
      <c r="NI77" s="46"/>
      <c r="NJ77" s="46"/>
      <c r="NK77" s="47"/>
      <c r="NL77" s="50"/>
      <c r="NM77" s="48"/>
      <c r="NN77" s="48"/>
      <c r="NO77" s="48"/>
      <c r="NP77" s="48"/>
      <c r="NQ77" s="48"/>
      <c r="NR77" s="48"/>
      <c r="NS77" s="48"/>
      <c r="NT77" s="48"/>
      <c r="NU77" s="48"/>
      <c r="NV77" s="48"/>
      <c r="NW77" s="48"/>
      <c r="NX77" s="48"/>
      <c r="NY77" s="48"/>
      <c r="NZ77" s="48"/>
      <c r="OA77" s="48"/>
      <c r="OB77" s="48"/>
      <c r="OC77" s="48"/>
      <c r="OD77" s="46"/>
      <c r="OE77" s="46"/>
      <c r="OF77" s="46"/>
      <c r="OG77" s="46"/>
      <c r="OH77" s="47"/>
      <c r="OI77" s="50"/>
      <c r="OJ77" s="48"/>
      <c r="OK77" s="48"/>
      <c r="OL77" s="48"/>
      <c r="OM77" s="48"/>
      <c r="ON77" s="48"/>
      <c r="OO77" s="48"/>
      <c r="OP77" s="48"/>
      <c r="OQ77" s="48"/>
      <c r="OR77" s="48"/>
      <c r="OS77" s="48"/>
      <c r="OT77" s="48"/>
      <c r="OU77" s="48"/>
      <c r="OV77" s="48"/>
      <c r="OW77" s="48"/>
      <c r="OX77" s="48"/>
      <c r="OY77" s="48"/>
      <c r="OZ77" s="48"/>
      <c r="PA77" s="46"/>
      <c r="PB77" s="46"/>
      <c r="PC77" s="46"/>
      <c r="PD77" s="46"/>
      <c r="PE77" s="47"/>
      <c r="PF77" s="50"/>
      <c r="PG77" s="48"/>
      <c r="PH77" s="48"/>
      <c r="PI77" s="48"/>
      <c r="PJ77" s="48"/>
      <c r="PK77" s="48"/>
      <c r="PL77" s="48"/>
      <c r="PM77" s="48"/>
      <c r="PN77" s="48"/>
      <c r="PO77" s="48"/>
      <c r="PP77" s="48"/>
      <c r="PQ77" s="48"/>
      <c r="PR77" s="48"/>
      <c r="PS77" s="48"/>
      <c r="PT77" s="48"/>
      <c r="PU77" s="48"/>
      <c r="PV77" s="48"/>
      <c r="PW77" s="48"/>
      <c r="PX77" s="46"/>
      <c r="PY77" s="46"/>
      <c r="PZ77" s="46"/>
      <c r="QA77" s="46"/>
      <c r="QB77" s="47"/>
      <c r="QC77" s="50"/>
      <c r="QD77" s="48"/>
      <c r="QE77" s="48"/>
      <c r="QF77" s="48"/>
      <c r="QG77" s="48"/>
      <c r="QH77" s="48"/>
      <c r="QI77" s="48"/>
      <c r="QJ77" s="48"/>
      <c r="QK77" s="48"/>
      <c r="QL77" s="48"/>
      <c r="QM77" s="48"/>
      <c r="QN77" s="48"/>
      <c r="QO77" s="48"/>
      <c r="QP77" s="48"/>
      <c r="QQ77" s="48"/>
      <c r="QR77" s="48"/>
      <c r="QS77" s="48"/>
      <c r="QT77" s="48"/>
      <c r="QU77" s="46"/>
      <c r="QV77" s="46"/>
      <c r="QW77" s="46"/>
      <c r="QX77" s="46"/>
      <c r="QY77" s="47"/>
      <c r="QZ77" s="1"/>
      <c r="RA77" s="1"/>
      <c r="RB77" s="1"/>
      <c r="RC77" s="1"/>
      <c r="RD77" s="1"/>
      <c r="RE77" s="1"/>
      <c r="RF77" s="1"/>
      <c r="RG77" s="1"/>
      <c r="RH77" s="1"/>
      <c r="RI77" s="1"/>
      <c r="RJ77" s="1"/>
      <c r="RK77" s="1"/>
      <c r="RL77" s="1"/>
      <c r="RM77" s="1"/>
      <c r="RN77" s="1"/>
      <c r="RO77" s="1"/>
      <c r="RP77" s="1"/>
      <c r="RQ77" s="1"/>
      <c r="RR77" s="1"/>
      <c r="RS77" s="1"/>
      <c r="RT77" s="1"/>
      <c r="RU77" s="1"/>
      <c r="RV77" s="1"/>
      <c r="RW77" s="1"/>
      <c r="RX77" s="1"/>
      <c r="RY77" s="1"/>
      <c r="RZ77" s="1"/>
      <c r="SA77" s="1"/>
      <c r="SB77" s="1"/>
      <c r="SC77" s="1"/>
      <c r="SD77" s="1"/>
      <c r="SE77" s="1"/>
      <c r="SF77" s="1"/>
      <c r="SG77" s="1"/>
      <c r="SH77" s="1"/>
      <c r="SI77" s="1"/>
      <c r="SJ77" s="1"/>
      <c r="SK77" s="1"/>
      <c r="SL77" s="1"/>
      <c r="SM77" s="1"/>
      <c r="SN77" s="1"/>
      <c r="SO77" s="1"/>
      <c r="SP77" s="1"/>
      <c r="SQ77" s="1"/>
      <c r="SR77" s="1"/>
      <c r="SS77" s="1"/>
      <c r="ST77" s="1"/>
      <c r="SU77" s="1"/>
      <c r="SV77" s="1"/>
      <c r="SW77" s="1"/>
      <c r="SX77" s="1"/>
      <c r="SY77" s="1"/>
      <c r="SZ77" s="1"/>
      <c r="TA77" s="1"/>
      <c r="TB77" s="1"/>
      <c r="TC77" s="1"/>
      <c r="TD77" s="1"/>
      <c r="TE77" s="1"/>
      <c r="TF77" s="1"/>
      <c r="TG77" s="1"/>
      <c r="TH77" s="1"/>
      <c r="TI77" s="1"/>
      <c r="TJ77" s="1"/>
      <c r="TK77" s="1"/>
      <c r="TL77" s="1"/>
      <c r="TM77" s="1"/>
      <c r="TN77" s="1"/>
      <c r="TO77" s="1"/>
      <c r="TP77" s="1"/>
      <c r="TQ77" s="1"/>
      <c r="TR77" s="1"/>
      <c r="TS77" s="1"/>
    </row>
    <row r="78" spans="1:539" ht="40" customHeight="1" x14ac:dyDescent="0.2">
      <c r="A78" s="34" t="s">
        <v>30</v>
      </c>
      <c r="B78" s="7">
        <v>7</v>
      </c>
      <c r="C78" s="7">
        <f>C76</f>
        <v>11</v>
      </c>
      <c r="D78" s="34" t="s">
        <v>24</v>
      </c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>
        <v>76</v>
      </c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 t="str">
        <f t="shared" si="239"/>
        <v>REG</v>
      </c>
    </row>
    <row r="79" spans="1:539" ht="40" customHeight="1" x14ac:dyDescent="0.2">
      <c r="A79" s="7" t="str">
        <f>A80</f>
        <v>MAGIC 1</v>
      </c>
      <c r="B79" s="7">
        <v>7</v>
      </c>
      <c r="C79" s="7">
        <f>C72+1</f>
        <v>12</v>
      </c>
      <c r="D79" s="7" t="s">
        <v>56</v>
      </c>
      <c r="E79" s="14">
        <v>0</v>
      </c>
      <c r="F79" s="14">
        <v>1</v>
      </c>
      <c r="G79" s="14">
        <v>0</v>
      </c>
      <c r="H79" s="14">
        <v>2</v>
      </c>
      <c r="I79" s="14">
        <f t="shared" ref="I79:J79" si="282">E79+G79</f>
        <v>0</v>
      </c>
      <c r="J79" s="14">
        <f t="shared" si="282"/>
        <v>3</v>
      </c>
      <c r="K79" s="14">
        <v>0</v>
      </c>
      <c r="L79" s="14">
        <v>0</v>
      </c>
      <c r="M79" s="14">
        <v>2</v>
      </c>
      <c r="N79" s="14">
        <v>4</v>
      </c>
      <c r="O79" s="14">
        <f t="shared" ref="O79" si="283">E79*2+G79*3+K79</f>
        <v>0</v>
      </c>
      <c r="P79" s="14">
        <f t="shared" ref="P79" si="284">M79+N79</f>
        <v>6</v>
      </c>
      <c r="Q79" s="14">
        <v>1</v>
      </c>
      <c r="R79" s="14">
        <v>0</v>
      </c>
      <c r="S79" s="14">
        <v>1</v>
      </c>
      <c r="T79" s="14">
        <v>1</v>
      </c>
      <c r="U79" s="14">
        <v>1</v>
      </c>
      <c r="V79" s="15">
        <f t="shared" ref="V79" si="285">IFERROR(I79/J79,0)</f>
        <v>0</v>
      </c>
      <c r="W79" s="15">
        <f t="shared" ref="W79" si="286">IFERROR(K79/L79,0)</f>
        <v>0</v>
      </c>
      <c r="X79" s="15">
        <f t="shared" ref="X79" si="287">IFERROR(E79/F79,0)</f>
        <v>0</v>
      </c>
      <c r="Y79" s="15">
        <f t="shared" ref="Y79" si="288">IFERROR(G79/H79,0)</f>
        <v>0</v>
      </c>
      <c r="Z79" s="16">
        <f t="shared" ref="Z79" si="289">(O79)+(0.4*I79)-(0.7*J79)-(0.4*(L79-K79))+(0.7*M79)+(0.3*N79)+S79+(0.7*Q79)+(0.7*R79)-(0.4*U79)-T79</f>
        <v>0.80000000000000027</v>
      </c>
      <c r="AA79" s="21" t="s">
        <v>34</v>
      </c>
    </row>
    <row r="80" spans="1:539" ht="40" customHeight="1" x14ac:dyDescent="0.2">
      <c r="A80" s="7" t="str">
        <f>D85</f>
        <v>MAGIC 1</v>
      </c>
      <c r="B80" s="7">
        <v>7</v>
      </c>
      <c r="C80" s="7">
        <f>C73+1</f>
        <v>12</v>
      </c>
      <c r="D80" s="7" t="str">
        <f>D72</f>
        <v>Lachlan Farley</v>
      </c>
      <c r="E80" s="19">
        <v>9</v>
      </c>
      <c r="F80" s="19">
        <v>20</v>
      </c>
      <c r="G80" s="19">
        <v>2</v>
      </c>
      <c r="H80" s="19">
        <v>8</v>
      </c>
      <c r="I80" s="19">
        <f>E80+G80</f>
        <v>11</v>
      </c>
      <c r="J80" s="19">
        <f>F80+H80</f>
        <v>28</v>
      </c>
      <c r="K80" s="19">
        <v>0</v>
      </c>
      <c r="L80" s="19">
        <v>5</v>
      </c>
      <c r="M80" s="19">
        <v>9</v>
      </c>
      <c r="N80" s="19">
        <v>5</v>
      </c>
      <c r="O80" s="19">
        <f>E80*2+G80*3+K80</f>
        <v>24</v>
      </c>
      <c r="P80" s="19">
        <f>M80+N80</f>
        <v>14</v>
      </c>
      <c r="Q80" s="19">
        <v>1</v>
      </c>
      <c r="R80" s="19">
        <v>0</v>
      </c>
      <c r="S80" s="19">
        <v>2</v>
      </c>
      <c r="T80" s="19">
        <v>1</v>
      </c>
      <c r="U80" s="19">
        <v>2</v>
      </c>
      <c r="V80" s="20">
        <f>IFERROR(I80/J80,0)</f>
        <v>0.39285714285714285</v>
      </c>
      <c r="W80" s="20">
        <f>IFERROR(K80/L80,0)</f>
        <v>0</v>
      </c>
      <c r="X80" s="20">
        <f>IFERROR(E80/F80,0)</f>
        <v>0.45</v>
      </c>
      <c r="Y80" s="20">
        <f>IFERROR(G80/H80,0)</f>
        <v>0.25</v>
      </c>
      <c r="Z80" s="21">
        <f>(O80)+(0.4*I80)-(0.7*J80)-(0.4*(L80-K80))+(0.7*M80)+(0.3*N80)+S80+(0.7*Q80)+(0.7*R80)-(0.4*U80)-T80</f>
        <v>15.5</v>
      </c>
      <c r="AA80" s="24" t="str">
        <f>AA79</f>
        <v>FINAL</v>
      </c>
    </row>
    <row r="81" spans="1:539" ht="40" customHeight="1" x14ac:dyDescent="0.2">
      <c r="A81" s="7" t="str">
        <f>A80</f>
        <v>MAGIC 1</v>
      </c>
      <c r="B81" s="7">
        <v>7</v>
      </c>
      <c r="C81" s="7">
        <f>C80</f>
        <v>12</v>
      </c>
      <c r="D81" s="7" t="str">
        <f>D73</f>
        <v>Josh Huxtable</v>
      </c>
      <c r="E81" s="22">
        <v>2</v>
      </c>
      <c r="F81" s="22">
        <v>7</v>
      </c>
      <c r="G81" s="22">
        <v>1</v>
      </c>
      <c r="H81" s="22">
        <v>4</v>
      </c>
      <c r="I81" s="22">
        <f t="shared" ref="I81:J83" si="290">E81+G81</f>
        <v>3</v>
      </c>
      <c r="J81" s="22">
        <f t="shared" si="290"/>
        <v>11</v>
      </c>
      <c r="K81" s="22">
        <v>0</v>
      </c>
      <c r="L81" s="22">
        <v>0</v>
      </c>
      <c r="M81" s="22">
        <v>2</v>
      </c>
      <c r="N81" s="22">
        <v>6</v>
      </c>
      <c r="O81" s="22">
        <f t="shared" ref="O81:O83" si="291">E81*2+G81*3+K81</f>
        <v>7</v>
      </c>
      <c r="P81" s="22">
        <f t="shared" ref="P81:P83" si="292">M81+N81</f>
        <v>8</v>
      </c>
      <c r="Q81" s="22">
        <v>3</v>
      </c>
      <c r="R81" s="22">
        <v>0</v>
      </c>
      <c r="S81" s="22">
        <v>0</v>
      </c>
      <c r="T81" s="22">
        <v>0</v>
      </c>
      <c r="U81" s="22">
        <v>1</v>
      </c>
      <c r="V81" s="23">
        <f t="shared" ref="V81:V84" si="293">IFERROR(I81/J81,0)</f>
        <v>0.27272727272727271</v>
      </c>
      <c r="W81" s="23">
        <f t="shared" ref="W81:W84" si="294">IFERROR(K81/L81,0)</f>
        <v>0</v>
      </c>
      <c r="X81" s="23">
        <f t="shared" ref="X81:X84" si="295">IFERROR(E81/F81,0)</f>
        <v>0.2857142857142857</v>
      </c>
      <c r="Y81" s="23">
        <f t="shared" ref="Y81:Y84" si="296">IFERROR(G81/H81,0)</f>
        <v>0.25</v>
      </c>
      <c r="Z81" s="24">
        <f t="shared" ref="Z81:Z83" si="297">(O81)+(0.4*I81)-(0.7*J81)-(0.4*(L81-K81))+(0.7*M81)+(0.3*N81)+S81+(0.7*Q81)+(0.7*R81)-(0.4*U81)-T81</f>
        <v>5.3999999999999986</v>
      </c>
      <c r="AA81" s="27" t="str">
        <f t="shared" ref="AA81:AA85" si="298">AA80</f>
        <v>FINAL</v>
      </c>
    </row>
    <row r="82" spans="1:539" ht="40" customHeight="1" x14ac:dyDescent="0.2">
      <c r="A82" s="7" t="str">
        <f t="shared" ref="A82:A83" si="299">A81</f>
        <v>MAGIC 1</v>
      </c>
      <c r="B82" s="7">
        <v>7</v>
      </c>
      <c r="C82" s="7">
        <f t="shared" ref="C82:C83" si="300">C81</f>
        <v>12</v>
      </c>
      <c r="D82" s="7" t="str">
        <f>D74</f>
        <v>Darcy Bishop</v>
      </c>
      <c r="E82" s="25">
        <v>0</v>
      </c>
      <c r="F82" s="25">
        <v>3</v>
      </c>
      <c r="G82" s="25">
        <v>0</v>
      </c>
      <c r="H82" s="25">
        <v>1</v>
      </c>
      <c r="I82" s="25">
        <f t="shared" si="290"/>
        <v>0</v>
      </c>
      <c r="J82" s="25">
        <f t="shared" si="290"/>
        <v>4</v>
      </c>
      <c r="K82" s="25">
        <v>2</v>
      </c>
      <c r="L82" s="25">
        <v>2</v>
      </c>
      <c r="M82" s="25">
        <v>2</v>
      </c>
      <c r="N82" s="25">
        <v>2</v>
      </c>
      <c r="O82" s="25">
        <f t="shared" si="291"/>
        <v>2</v>
      </c>
      <c r="P82" s="25">
        <f t="shared" si="292"/>
        <v>4</v>
      </c>
      <c r="Q82" s="25">
        <v>6</v>
      </c>
      <c r="R82" s="25">
        <v>1</v>
      </c>
      <c r="S82" s="25">
        <v>1</v>
      </c>
      <c r="T82" s="25">
        <v>2</v>
      </c>
      <c r="U82" s="25">
        <v>2</v>
      </c>
      <c r="V82" s="26">
        <f t="shared" si="293"/>
        <v>0</v>
      </c>
      <c r="W82" s="26">
        <f t="shared" si="294"/>
        <v>1</v>
      </c>
      <c r="X82" s="26">
        <f t="shared" si="295"/>
        <v>0</v>
      </c>
      <c r="Y82" s="26">
        <f t="shared" si="296"/>
        <v>0</v>
      </c>
      <c r="Z82" s="27">
        <f t="shared" si="297"/>
        <v>4.3</v>
      </c>
      <c r="AA82" s="30" t="str">
        <f t="shared" si="298"/>
        <v>FINAL</v>
      </c>
    </row>
    <row r="83" spans="1:539" ht="40" customHeight="1" x14ac:dyDescent="0.2">
      <c r="A83" s="7" t="str">
        <f t="shared" si="299"/>
        <v>MAGIC 1</v>
      </c>
      <c r="B83" s="7">
        <v>7</v>
      </c>
      <c r="C83" s="7">
        <f t="shared" si="300"/>
        <v>12</v>
      </c>
      <c r="D83" s="7" t="str">
        <f>D75</f>
        <v>Harry Coller</v>
      </c>
      <c r="E83" s="28">
        <v>4</v>
      </c>
      <c r="F83" s="28">
        <v>14</v>
      </c>
      <c r="G83" s="28">
        <v>4</v>
      </c>
      <c r="H83" s="28">
        <v>21</v>
      </c>
      <c r="I83" s="28">
        <f t="shared" si="290"/>
        <v>8</v>
      </c>
      <c r="J83" s="28">
        <f t="shared" si="290"/>
        <v>35</v>
      </c>
      <c r="K83" s="28">
        <v>2</v>
      </c>
      <c r="L83" s="28">
        <v>2</v>
      </c>
      <c r="M83" s="28">
        <v>5</v>
      </c>
      <c r="N83" s="28">
        <v>5</v>
      </c>
      <c r="O83" s="28">
        <f t="shared" si="291"/>
        <v>22</v>
      </c>
      <c r="P83" s="28">
        <f t="shared" si="292"/>
        <v>10</v>
      </c>
      <c r="Q83" s="28">
        <v>5</v>
      </c>
      <c r="R83" s="28">
        <v>1</v>
      </c>
      <c r="S83" s="28">
        <v>2</v>
      </c>
      <c r="T83" s="28">
        <v>2</v>
      </c>
      <c r="U83" s="28">
        <v>4</v>
      </c>
      <c r="V83" s="29">
        <f t="shared" si="293"/>
        <v>0.22857142857142856</v>
      </c>
      <c r="W83" s="29">
        <f t="shared" si="294"/>
        <v>1</v>
      </c>
      <c r="X83" s="29">
        <f t="shared" si="295"/>
        <v>0.2857142857142857</v>
      </c>
      <c r="Y83" s="29">
        <f t="shared" si="296"/>
        <v>0.19047619047619047</v>
      </c>
      <c r="Z83" s="30">
        <f t="shared" si="297"/>
        <v>8.2999999999999989</v>
      </c>
      <c r="AA83" s="33" t="str">
        <f t="shared" si="298"/>
        <v>FINAL</v>
      </c>
    </row>
    <row r="84" spans="1:539" s="67" customFormat="1" ht="40" customHeight="1" x14ac:dyDescent="0.2">
      <c r="A84" s="66" t="str">
        <f>A83</f>
        <v>MAGIC 1</v>
      </c>
      <c r="B84" s="7">
        <f>B83</f>
        <v>7</v>
      </c>
      <c r="C84" s="7">
        <f>C83</f>
        <v>12</v>
      </c>
      <c r="D84" s="66" t="s">
        <v>31</v>
      </c>
      <c r="E84" s="17">
        <f>SUM(E79:E83)</f>
        <v>15</v>
      </c>
      <c r="F84" s="17">
        <f t="shared" ref="F84" si="301">SUM(F79:F83)</f>
        <v>45</v>
      </c>
      <c r="G84" s="17">
        <f t="shared" ref="G84" si="302">SUM(G79:G83)</f>
        <v>7</v>
      </c>
      <c r="H84" s="17">
        <f t="shared" ref="H84" si="303">SUM(H79:H83)</f>
        <v>36</v>
      </c>
      <c r="I84" s="17">
        <f t="shared" ref="I84" si="304">SUM(I79:I83)</f>
        <v>22</v>
      </c>
      <c r="J84" s="17">
        <f t="shared" ref="J84" si="305">SUM(J79:J83)</f>
        <v>81</v>
      </c>
      <c r="K84" s="17">
        <f t="shared" ref="K84" si="306">SUM(K79:K83)</f>
        <v>4</v>
      </c>
      <c r="L84" s="17">
        <f t="shared" ref="L84" si="307">SUM(L79:L83)</f>
        <v>9</v>
      </c>
      <c r="M84" s="17">
        <f t="shared" ref="M84" si="308">SUM(M79:M83)</f>
        <v>20</v>
      </c>
      <c r="N84" s="17">
        <f t="shared" ref="N84" si="309">SUM(N79:N83)</f>
        <v>22</v>
      </c>
      <c r="O84" s="17">
        <f t="shared" ref="O84" si="310">SUM(O79:O83)</f>
        <v>55</v>
      </c>
      <c r="P84" s="17">
        <f t="shared" ref="P84" si="311">SUM(P79:P83)</f>
        <v>42</v>
      </c>
      <c r="Q84" s="17">
        <f t="shared" ref="Q84" si="312">SUM(Q79:Q83)</f>
        <v>16</v>
      </c>
      <c r="R84" s="17">
        <f t="shared" ref="R84" si="313">SUM(R79:R83)</f>
        <v>2</v>
      </c>
      <c r="S84" s="17">
        <f t="shared" ref="S84" si="314">SUM(S79:S83)</f>
        <v>6</v>
      </c>
      <c r="T84" s="17">
        <f t="shared" ref="T84" si="315">SUM(T79:T83)</f>
        <v>6</v>
      </c>
      <c r="U84" s="17">
        <f t="shared" ref="U84" si="316">SUM(U79:U83)</f>
        <v>10</v>
      </c>
      <c r="V84" s="68">
        <f t="shared" si="293"/>
        <v>0.27160493827160492</v>
      </c>
      <c r="W84" s="68">
        <f t="shared" si="294"/>
        <v>0.44444444444444442</v>
      </c>
      <c r="X84" s="68">
        <f t="shared" si="295"/>
        <v>0.33333333333333331</v>
      </c>
      <c r="Y84" s="68">
        <f t="shared" si="296"/>
        <v>0.19444444444444445</v>
      </c>
      <c r="Z84" s="69">
        <f>AVERAGE(Z79:Z83)</f>
        <v>6.8599999999999994</v>
      </c>
      <c r="AA84" s="69" t="str">
        <f t="shared" si="298"/>
        <v>FINAL</v>
      </c>
      <c r="AB84" s="97"/>
      <c r="AC84" s="97"/>
      <c r="AD84" s="97"/>
      <c r="AE84" s="97"/>
      <c r="AF84" s="97"/>
      <c r="AG84" s="97"/>
      <c r="AH84" s="97"/>
      <c r="AI84" s="97"/>
      <c r="AJ84" s="97"/>
      <c r="AK84" s="97"/>
      <c r="AL84" s="97"/>
      <c r="AM84" s="97"/>
      <c r="AN84" s="97"/>
      <c r="AO84" s="97"/>
      <c r="AP84" s="97"/>
      <c r="AQ84" s="97"/>
      <c r="AR84" s="97"/>
      <c r="AS84" s="97"/>
      <c r="AT84" s="97"/>
      <c r="AU84" s="97"/>
      <c r="AV84" s="97"/>
      <c r="AW84" s="97"/>
      <c r="AX84" s="97"/>
      <c r="AY84" s="97"/>
      <c r="AZ84" s="97"/>
      <c r="BA84" s="97"/>
      <c r="BB84" s="97"/>
      <c r="BC84" s="97"/>
      <c r="BD84" s="97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EG84" s="1"/>
      <c r="EH84" s="1"/>
      <c r="EI84" s="1"/>
      <c r="EJ84" s="1"/>
      <c r="EK84" s="1"/>
      <c r="EL84" s="1"/>
      <c r="EM84" s="1"/>
      <c r="EN84" s="1"/>
      <c r="EO84" s="1"/>
      <c r="EP84" s="1"/>
      <c r="EQ84" s="1"/>
      <c r="ER84" s="1"/>
      <c r="ES84" s="1"/>
      <c r="ET84" s="1"/>
      <c r="EU84" s="1"/>
      <c r="EV84" s="1"/>
      <c r="EW84" s="1"/>
      <c r="EX84" s="1"/>
      <c r="EY84" s="1"/>
      <c r="EZ84" s="1"/>
      <c r="FA84" s="1"/>
      <c r="FB84" s="1"/>
      <c r="FC84" s="1"/>
      <c r="FD84" s="1"/>
      <c r="FE84" s="1"/>
      <c r="FF84" s="1"/>
      <c r="FG84" s="1"/>
      <c r="FH84" s="1"/>
      <c r="FI84" s="1"/>
      <c r="FJ84" s="1"/>
      <c r="FK84" s="1"/>
      <c r="FL84" s="1"/>
      <c r="FM84" s="1"/>
      <c r="FN84" s="1"/>
      <c r="FO84" s="1"/>
      <c r="FP84" s="1"/>
      <c r="FQ84" s="1"/>
      <c r="FR84" s="1"/>
      <c r="FS84" s="1"/>
      <c r="FT84" s="1"/>
      <c r="FU84" s="1"/>
      <c r="FV84" s="1"/>
      <c r="FW84" s="1"/>
      <c r="FX84" s="1"/>
      <c r="FY84" s="1"/>
      <c r="FZ84" s="1"/>
      <c r="GA84" s="1"/>
      <c r="GB84" s="1"/>
      <c r="GC84" s="1"/>
      <c r="GD84" s="1"/>
      <c r="GE84" s="1"/>
      <c r="GF84" s="1"/>
      <c r="GG84" s="1"/>
      <c r="GH84" s="1"/>
      <c r="GI84" s="1"/>
      <c r="GJ84" s="1"/>
      <c r="GK84" s="1"/>
      <c r="GL84" s="1"/>
      <c r="GM84" s="1"/>
      <c r="GN84" s="1"/>
      <c r="GO84" s="1"/>
      <c r="GP84" s="1"/>
      <c r="GQ84" s="1"/>
      <c r="GR84" s="1"/>
      <c r="GS84" s="1"/>
      <c r="GT84" s="1"/>
      <c r="GU84" s="1"/>
      <c r="GV84" s="1"/>
      <c r="GW84" s="1"/>
      <c r="GX84" s="1"/>
      <c r="GY84" s="1"/>
      <c r="GZ84" s="1"/>
      <c r="HA84" s="1"/>
      <c r="HB84" s="1"/>
      <c r="HC84" s="1"/>
      <c r="HD84" s="1"/>
      <c r="HE84" s="1"/>
      <c r="HF84" s="1"/>
      <c r="HG84" s="1"/>
      <c r="HH84" s="1"/>
      <c r="HI84" s="1"/>
      <c r="HJ84" s="1"/>
      <c r="HK84" s="1"/>
      <c r="HL84" s="1"/>
      <c r="HM84" s="1"/>
      <c r="HN84" s="1"/>
      <c r="HO84" s="1"/>
      <c r="HP84" s="1"/>
      <c r="HQ84" s="1"/>
      <c r="HR84" s="1"/>
      <c r="HS84" s="1"/>
      <c r="HT84" s="1"/>
      <c r="HU84" s="1"/>
      <c r="HV84" s="1"/>
      <c r="HW84" s="1"/>
      <c r="HX84" s="1"/>
      <c r="HY84" s="1"/>
      <c r="HZ84" s="1"/>
      <c r="IA84" s="1"/>
      <c r="IB84" s="1"/>
      <c r="IC84" s="1"/>
      <c r="ID84" s="1"/>
      <c r="IE84" s="1"/>
      <c r="IF84" s="1"/>
      <c r="IG84" s="1"/>
      <c r="IH84" s="1"/>
      <c r="II84" s="1"/>
      <c r="IJ84" s="1"/>
      <c r="IK84" s="1"/>
      <c r="IL84" s="1"/>
      <c r="IM84" s="1"/>
      <c r="IN84" s="1"/>
      <c r="IO84" s="1"/>
      <c r="IP84" s="1"/>
      <c r="IQ84" s="1"/>
      <c r="IR84" s="1"/>
      <c r="IS84" s="1"/>
      <c r="IT84" s="1"/>
      <c r="IU84" s="1"/>
      <c r="IV84" s="1"/>
      <c r="IW84" s="1"/>
      <c r="IX84" s="1"/>
      <c r="IY84" s="1"/>
      <c r="IZ84" s="1"/>
      <c r="JA84" s="1"/>
      <c r="JB84" s="1"/>
      <c r="JC84" s="1"/>
      <c r="JD84" s="1"/>
      <c r="JE84" s="1"/>
      <c r="JF84" s="1"/>
      <c r="JG84" s="1"/>
      <c r="JH84" s="1"/>
      <c r="JI84" s="1"/>
      <c r="JJ84" s="1"/>
      <c r="JK84" s="1"/>
      <c r="JL84" s="1"/>
      <c r="JM84" s="1"/>
      <c r="JN84" s="1"/>
      <c r="JO84" s="1"/>
      <c r="JP84" s="1"/>
      <c r="JQ84" s="1"/>
      <c r="JR84" s="1"/>
      <c r="JS84" s="1"/>
      <c r="JT84" s="1"/>
      <c r="JU84" s="1"/>
      <c r="JV84" s="1"/>
      <c r="JW84" s="1"/>
      <c r="JX84" s="50"/>
      <c r="JY84" s="48"/>
      <c r="JZ84" s="48"/>
      <c r="KA84" s="48"/>
      <c r="KB84" s="48"/>
      <c r="KC84" s="48"/>
      <c r="KD84" s="48"/>
      <c r="KE84" s="48"/>
      <c r="KF84" s="48"/>
      <c r="KG84" s="48"/>
      <c r="KH84" s="48"/>
      <c r="KI84" s="48"/>
      <c r="KJ84" s="48"/>
      <c r="KK84" s="48"/>
      <c r="KL84" s="48"/>
      <c r="KM84" s="48"/>
      <c r="KN84" s="48"/>
      <c r="KO84" s="48"/>
      <c r="KP84" s="46"/>
      <c r="KQ84" s="46"/>
      <c r="KR84" s="46"/>
      <c r="KS84" s="46"/>
      <c r="KT84" s="47"/>
      <c r="KU84" s="50"/>
      <c r="KV84" s="48"/>
      <c r="KW84" s="48"/>
      <c r="KX84" s="48"/>
      <c r="KY84" s="48"/>
      <c r="KZ84" s="48"/>
      <c r="LA84" s="48"/>
      <c r="LB84" s="48"/>
      <c r="LC84" s="48"/>
      <c r="LD84" s="48"/>
      <c r="LE84" s="48"/>
      <c r="LF84" s="48"/>
      <c r="LG84" s="48"/>
      <c r="LH84" s="48"/>
      <c r="LI84" s="48"/>
      <c r="LJ84" s="48"/>
      <c r="LK84" s="48"/>
      <c r="LL84" s="48"/>
      <c r="LM84" s="46"/>
      <c r="LN84" s="46"/>
      <c r="LO84" s="46"/>
      <c r="LP84" s="46"/>
      <c r="LQ84" s="47"/>
      <c r="LR84" s="50"/>
      <c r="LS84" s="48"/>
      <c r="LT84" s="48"/>
      <c r="LU84" s="48"/>
      <c r="LV84" s="48"/>
      <c r="LW84" s="48"/>
      <c r="LX84" s="48"/>
      <c r="LY84" s="48"/>
      <c r="LZ84" s="48"/>
      <c r="MA84" s="48"/>
      <c r="MB84" s="48"/>
      <c r="MC84" s="48"/>
      <c r="MD84" s="48"/>
      <c r="ME84" s="48"/>
      <c r="MF84" s="48"/>
      <c r="MG84" s="48"/>
      <c r="MH84" s="48"/>
      <c r="MI84" s="48"/>
      <c r="MJ84" s="46"/>
      <c r="MK84" s="46"/>
      <c r="ML84" s="46"/>
      <c r="MM84" s="46"/>
      <c r="MN84" s="47"/>
      <c r="MO84" s="50"/>
      <c r="MP84" s="48"/>
      <c r="MQ84" s="48"/>
      <c r="MR84" s="48"/>
      <c r="MS84" s="48"/>
      <c r="MT84" s="48"/>
      <c r="MU84" s="48"/>
      <c r="MV84" s="48"/>
      <c r="MW84" s="48"/>
      <c r="MX84" s="48"/>
      <c r="MY84" s="48"/>
      <c r="MZ84" s="48"/>
      <c r="NA84" s="48"/>
      <c r="NB84" s="48"/>
      <c r="NC84" s="48"/>
      <c r="ND84" s="48"/>
      <c r="NE84" s="48"/>
      <c r="NF84" s="48"/>
      <c r="NG84" s="46"/>
      <c r="NH84" s="46"/>
      <c r="NI84" s="46"/>
      <c r="NJ84" s="46"/>
      <c r="NK84" s="47"/>
      <c r="NL84" s="50"/>
      <c r="NM84" s="48"/>
      <c r="NN84" s="48"/>
      <c r="NO84" s="48"/>
      <c r="NP84" s="48"/>
      <c r="NQ84" s="48"/>
      <c r="NR84" s="48"/>
      <c r="NS84" s="48"/>
      <c r="NT84" s="48"/>
      <c r="NU84" s="48"/>
      <c r="NV84" s="48"/>
      <c r="NW84" s="48"/>
      <c r="NX84" s="48"/>
      <c r="NY84" s="48"/>
      <c r="NZ84" s="48"/>
      <c r="OA84" s="48"/>
      <c r="OB84" s="48"/>
      <c r="OC84" s="48"/>
      <c r="OD84" s="46"/>
      <c r="OE84" s="46"/>
      <c r="OF84" s="46"/>
      <c r="OG84" s="46"/>
      <c r="OH84" s="47"/>
      <c r="OI84" s="50"/>
      <c r="OJ84" s="48"/>
      <c r="OK84" s="48"/>
      <c r="OL84" s="48"/>
      <c r="OM84" s="48"/>
      <c r="ON84" s="48"/>
      <c r="OO84" s="48"/>
      <c r="OP84" s="48"/>
      <c r="OQ84" s="48"/>
      <c r="OR84" s="48"/>
      <c r="OS84" s="48"/>
      <c r="OT84" s="48"/>
      <c r="OU84" s="48"/>
      <c r="OV84" s="48"/>
      <c r="OW84" s="48"/>
      <c r="OX84" s="48"/>
      <c r="OY84" s="48"/>
      <c r="OZ84" s="48"/>
      <c r="PA84" s="46"/>
      <c r="PB84" s="46"/>
      <c r="PC84" s="46"/>
      <c r="PD84" s="46"/>
      <c r="PE84" s="47"/>
      <c r="PF84" s="50"/>
      <c r="PG84" s="48"/>
      <c r="PH84" s="48"/>
      <c r="PI84" s="48"/>
      <c r="PJ84" s="48"/>
      <c r="PK84" s="48"/>
      <c r="PL84" s="48"/>
      <c r="PM84" s="48"/>
      <c r="PN84" s="48"/>
      <c r="PO84" s="48"/>
      <c r="PP84" s="48"/>
      <c r="PQ84" s="48"/>
      <c r="PR84" s="48"/>
      <c r="PS84" s="48"/>
      <c r="PT84" s="48"/>
      <c r="PU84" s="48"/>
      <c r="PV84" s="48"/>
      <c r="PW84" s="48"/>
      <c r="PX84" s="46"/>
      <c r="PY84" s="46"/>
      <c r="PZ84" s="46"/>
      <c r="QA84" s="46"/>
      <c r="QB84" s="47"/>
      <c r="QC84" s="50"/>
      <c r="QD84" s="48"/>
      <c r="QE84" s="48"/>
      <c r="QF84" s="48"/>
      <c r="QG84" s="48"/>
      <c r="QH84" s="48"/>
      <c r="QI84" s="48"/>
      <c r="QJ84" s="48"/>
      <c r="QK84" s="48"/>
      <c r="QL84" s="48"/>
      <c r="QM84" s="48"/>
      <c r="QN84" s="48"/>
      <c r="QO84" s="48"/>
      <c r="QP84" s="48"/>
      <c r="QQ84" s="48"/>
      <c r="QR84" s="48"/>
      <c r="QS84" s="48"/>
      <c r="QT84" s="48"/>
      <c r="QU84" s="46"/>
      <c r="QV84" s="46"/>
      <c r="QW84" s="46"/>
      <c r="QX84" s="46"/>
      <c r="QY84" s="47"/>
      <c r="QZ84" s="1"/>
      <c r="RA84" s="1"/>
      <c r="RB84" s="1"/>
      <c r="RC84" s="1"/>
      <c r="RD84" s="1"/>
      <c r="RE84" s="1"/>
      <c r="RF84" s="1"/>
      <c r="RG84" s="1"/>
      <c r="RH84" s="1"/>
      <c r="RI84" s="1"/>
      <c r="RJ84" s="1"/>
      <c r="RK84" s="1"/>
      <c r="RL84" s="1"/>
      <c r="RM84" s="1"/>
      <c r="RN84" s="1"/>
      <c r="RO84" s="1"/>
      <c r="RP84" s="1"/>
      <c r="RQ84" s="1"/>
      <c r="RR84" s="1"/>
      <c r="RS84" s="1"/>
      <c r="RT84" s="1"/>
      <c r="RU84" s="1"/>
      <c r="RV84" s="1"/>
      <c r="RW84" s="1"/>
      <c r="RX84" s="1"/>
      <c r="RY84" s="1"/>
      <c r="RZ84" s="1"/>
      <c r="SA84" s="1"/>
      <c r="SB84" s="1"/>
      <c r="SC84" s="1"/>
      <c r="SD84" s="1"/>
      <c r="SE84" s="1"/>
      <c r="SF84" s="1"/>
      <c r="SG84" s="1"/>
      <c r="SH84" s="1"/>
      <c r="SI84" s="1"/>
      <c r="SJ84" s="1"/>
      <c r="SK84" s="1"/>
      <c r="SL84" s="1"/>
      <c r="SM84" s="1"/>
      <c r="SN84" s="1"/>
      <c r="SO84" s="1"/>
      <c r="SP84" s="1"/>
      <c r="SQ84" s="1"/>
      <c r="SR84" s="1"/>
      <c r="SS84" s="1"/>
      <c r="ST84" s="1"/>
      <c r="SU84" s="1"/>
      <c r="SV84" s="1"/>
      <c r="SW84" s="1"/>
      <c r="SX84" s="1"/>
      <c r="SY84" s="1"/>
      <c r="SZ84" s="1"/>
      <c r="TA84" s="1"/>
      <c r="TB84" s="1"/>
      <c r="TC84" s="1"/>
      <c r="TD84" s="1"/>
      <c r="TE84" s="1"/>
      <c r="TF84" s="1"/>
      <c r="TG84" s="1"/>
      <c r="TH84" s="1"/>
      <c r="TI84" s="1"/>
      <c r="TJ84" s="1"/>
      <c r="TK84" s="1"/>
      <c r="TL84" s="1"/>
      <c r="TM84" s="1"/>
      <c r="TN84" s="1"/>
      <c r="TO84" s="1"/>
      <c r="TP84" s="1"/>
      <c r="TQ84" s="1"/>
      <c r="TR84" s="1"/>
      <c r="TS84" s="1"/>
    </row>
    <row r="85" spans="1:539" ht="40" customHeight="1" x14ac:dyDescent="0.4">
      <c r="A85" s="34" t="s">
        <v>30</v>
      </c>
      <c r="B85" s="7">
        <v>7</v>
      </c>
      <c r="C85" s="7">
        <f>C83</f>
        <v>12</v>
      </c>
      <c r="D85" s="34" t="s">
        <v>35</v>
      </c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>
        <v>68</v>
      </c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 t="str">
        <f t="shared" si="298"/>
        <v>FINAL</v>
      </c>
      <c r="AB85" s="97"/>
      <c r="AC85" s="96"/>
      <c r="AD85" s="96"/>
      <c r="AE85" s="96"/>
      <c r="AF85" s="72"/>
      <c r="AG85" s="73"/>
      <c r="AH85" s="73"/>
      <c r="AI85" s="73"/>
      <c r="AJ85" s="73"/>
      <c r="AK85" s="73"/>
      <c r="AL85" s="73"/>
      <c r="AM85" s="73"/>
      <c r="AN85" s="73"/>
      <c r="AO85" s="73"/>
      <c r="AP85" s="73"/>
      <c r="AQ85" s="73"/>
      <c r="AR85" s="73"/>
      <c r="AS85" s="73"/>
      <c r="AT85" s="73"/>
      <c r="AU85" s="73"/>
      <c r="AV85" s="73"/>
      <c r="AW85" s="73"/>
      <c r="AX85" s="74"/>
      <c r="AY85" s="74"/>
      <c r="AZ85" s="74"/>
      <c r="BA85" s="74"/>
      <c r="BB85" s="75"/>
      <c r="BC85" s="98"/>
      <c r="BD85" s="97"/>
    </row>
    <row r="86" spans="1:539" ht="40" customHeight="1" x14ac:dyDescent="0.4">
      <c r="A86" s="96" t="str">
        <f>A87</f>
        <v>MAGIC 2</v>
      </c>
      <c r="B86" s="96">
        <f>B87</f>
        <v>8</v>
      </c>
      <c r="C86" s="96">
        <v>1</v>
      </c>
      <c r="D86" s="72" t="s">
        <v>51</v>
      </c>
      <c r="E86" s="73">
        <v>0</v>
      </c>
      <c r="F86" s="73">
        <v>2</v>
      </c>
      <c r="G86" s="73">
        <v>0</v>
      </c>
      <c r="H86" s="73">
        <v>1</v>
      </c>
      <c r="I86" s="73">
        <v>0</v>
      </c>
      <c r="J86" s="73">
        <v>3</v>
      </c>
      <c r="K86" s="73">
        <v>0</v>
      </c>
      <c r="L86" s="73">
        <v>0</v>
      </c>
      <c r="M86" s="73">
        <v>0</v>
      </c>
      <c r="N86" s="73">
        <v>2</v>
      </c>
      <c r="O86" s="73">
        <v>0</v>
      </c>
      <c r="P86" s="73">
        <v>2</v>
      </c>
      <c r="Q86" s="73">
        <v>1</v>
      </c>
      <c r="R86" s="73">
        <v>0</v>
      </c>
      <c r="S86" s="73">
        <v>0</v>
      </c>
      <c r="T86" s="73">
        <v>2</v>
      </c>
      <c r="U86" s="73">
        <v>0</v>
      </c>
      <c r="V86" s="74">
        <v>0</v>
      </c>
      <c r="W86" s="74">
        <v>0</v>
      </c>
      <c r="X86" s="74">
        <v>0</v>
      </c>
      <c r="Y86" s="74">
        <v>0</v>
      </c>
      <c r="Z86" s="75">
        <v>-2.8</v>
      </c>
      <c r="AA86" s="98" t="s">
        <v>33</v>
      </c>
      <c r="AB86" s="97"/>
      <c r="AC86" s="97"/>
      <c r="AD86" s="97"/>
      <c r="AE86" s="97"/>
      <c r="AF86" s="97"/>
      <c r="AG86" s="97"/>
      <c r="AH86" s="97"/>
      <c r="AI86" s="97"/>
      <c r="AJ86" s="97"/>
      <c r="AK86" s="97"/>
      <c r="AL86" s="97"/>
      <c r="AM86" s="97"/>
      <c r="AN86" s="97"/>
      <c r="AO86" s="97"/>
      <c r="AP86" s="97"/>
      <c r="AQ86" s="97"/>
      <c r="AR86" s="97"/>
      <c r="AS86" s="97"/>
      <c r="AT86" s="97"/>
      <c r="AU86" s="97"/>
      <c r="AV86" s="97"/>
      <c r="AW86" s="97"/>
      <c r="AX86" s="97"/>
      <c r="AY86" s="97"/>
      <c r="AZ86" s="97"/>
      <c r="BA86" s="97"/>
      <c r="BB86" s="97"/>
      <c r="BC86" s="97"/>
      <c r="BD86" s="97"/>
    </row>
    <row r="87" spans="1:539" ht="40" customHeight="1" x14ac:dyDescent="0.4">
      <c r="A87" s="96" t="str">
        <f>A88</f>
        <v>MAGIC 2</v>
      </c>
      <c r="B87" s="96">
        <v>8</v>
      </c>
      <c r="C87" s="96">
        <f>C86</f>
        <v>1</v>
      </c>
      <c r="D87" s="72" t="s">
        <v>40</v>
      </c>
      <c r="E87" s="77">
        <v>7</v>
      </c>
      <c r="F87" s="77">
        <v>13</v>
      </c>
      <c r="G87" s="77">
        <v>0</v>
      </c>
      <c r="H87" s="77">
        <v>3</v>
      </c>
      <c r="I87" s="77">
        <v>7</v>
      </c>
      <c r="J87" s="77">
        <v>16</v>
      </c>
      <c r="K87" s="77">
        <v>2</v>
      </c>
      <c r="L87" s="77">
        <v>2</v>
      </c>
      <c r="M87" s="77">
        <v>3</v>
      </c>
      <c r="N87" s="77">
        <v>4</v>
      </c>
      <c r="O87" s="77">
        <v>16</v>
      </c>
      <c r="P87" s="77">
        <v>7</v>
      </c>
      <c r="Q87" s="77">
        <v>3</v>
      </c>
      <c r="R87" s="77">
        <v>0</v>
      </c>
      <c r="S87" s="77">
        <v>0</v>
      </c>
      <c r="T87" s="77">
        <v>2</v>
      </c>
      <c r="U87" s="77">
        <v>0</v>
      </c>
      <c r="V87" s="78">
        <v>0.4375</v>
      </c>
      <c r="W87" s="78">
        <v>1</v>
      </c>
      <c r="X87" s="78">
        <v>0.53846153846153844</v>
      </c>
      <c r="Y87" s="78">
        <v>0</v>
      </c>
      <c r="Z87" s="79">
        <v>11</v>
      </c>
      <c r="AA87" s="98" t="s">
        <v>33</v>
      </c>
      <c r="AB87" s="97"/>
      <c r="AC87" s="97"/>
      <c r="AD87" s="97"/>
      <c r="AE87" s="97"/>
      <c r="AF87" s="97"/>
      <c r="AG87" s="97"/>
      <c r="AH87" s="97"/>
      <c r="AI87" s="97"/>
      <c r="AJ87" s="97"/>
      <c r="AK87" s="97"/>
      <c r="AL87" s="97"/>
      <c r="AM87" s="97"/>
      <c r="AN87" s="97"/>
      <c r="AO87" s="97"/>
      <c r="AP87" s="97"/>
      <c r="AQ87" s="97"/>
      <c r="AR87" s="97"/>
      <c r="AS87" s="97"/>
      <c r="AT87" s="97"/>
      <c r="AU87" s="97"/>
      <c r="AV87" s="97"/>
      <c r="AW87" s="97"/>
      <c r="AX87" s="97"/>
      <c r="AY87" s="97"/>
      <c r="AZ87" s="97"/>
      <c r="BA87" s="97"/>
      <c r="BB87" s="97"/>
      <c r="BC87" s="97"/>
      <c r="BD87" s="97"/>
    </row>
    <row r="88" spans="1:539" ht="40" customHeight="1" x14ac:dyDescent="0.4">
      <c r="A88" s="96" t="str">
        <f>D93</f>
        <v>MAGIC 2</v>
      </c>
      <c r="B88" s="96">
        <v>8</v>
      </c>
      <c r="C88" s="96">
        <f t="shared" ref="C88:C93" si="317">C87</f>
        <v>1</v>
      </c>
      <c r="D88" s="72" t="s">
        <v>41</v>
      </c>
      <c r="E88" s="80">
        <v>2</v>
      </c>
      <c r="F88" s="80">
        <v>8</v>
      </c>
      <c r="G88" s="80">
        <v>0</v>
      </c>
      <c r="H88" s="80">
        <v>2</v>
      </c>
      <c r="I88" s="80">
        <v>2</v>
      </c>
      <c r="J88" s="80">
        <v>10</v>
      </c>
      <c r="K88" s="80">
        <v>2</v>
      </c>
      <c r="L88" s="80">
        <v>4</v>
      </c>
      <c r="M88" s="80">
        <v>1</v>
      </c>
      <c r="N88" s="80">
        <v>5</v>
      </c>
      <c r="O88" s="80">
        <v>6</v>
      </c>
      <c r="P88" s="80">
        <v>6</v>
      </c>
      <c r="Q88" s="80">
        <v>0</v>
      </c>
      <c r="R88" s="80">
        <v>1</v>
      </c>
      <c r="S88" s="80">
        <v>0</v>
      </c>
      <c r="T88" s="80">
        <v>2</v>
      </c>
      <c r="U88" s="80">
        <v>2</v>
      </c>
      <c r="V88" s="81">
        <v>0.2</v>
      </c>
      <c r="W88" s="81">
        <v>0.5</v>
      </c>
      <c r="X88" s="81">
        <v>0.25</v>
      </c>
      <c r="Y88" s="81">
        <v>0</v>
      </c>
      <c r="Z88" s="82">
        <v>-0.90000000000000036</v>
      </c>
      <c r="AA88" s="98" t="str">
        <f>AA87</f>
        <v>REG</v>
      </c>
    </row>
    <row r="89" spans="1:539" ht="40" customHeight="1" x14ac:dyDescent="0.4">
      <c r="A89" s="96" t="str">
        <f>A88</f>
        <v>MAGIC 2</v>
      </c>
      <c r="B89" s="96">
        <v>8</v>
      </c>
      <c r="C89" s="96">
        <f t="shared" si="317"/>
        <v>1</v>
      </c>
      <c r="D89" s="72" t="s">
        <v>42</v>
      </c>
      <c r="E89" s="83">
        <v>12</v>
      </c>
      <c r="F89" s="83">
        <v>18</v>
      </c>
      <c r="G89" s="83">
        <v>1</v>
      </c>
      <c r="H89" s="83">
        <v>7</v>
      </c>
      <c r="I89" s="83">
        <v>13</v>
      </c>
      <c r="J89" s="83">
        <v>25</v>
      </c>
      <c r="K89" s="83">
        <v>2</v>
      </c>
      <c r="L89" s="83">
        <v>2</v>
      </c>
      <c r="M89" s="83">
        <v>2</v>
      </c>
      <c r="N89" s="83">
        <v>11</v>
      </c>
      <c r="O89" s="83">
        <v>29</v>
      </c>
      <c r="P89" s="83">
        <v>13</v>
      </c>
      <c r="Q89" s="83">
        <v>3</v>
      </c>
      <c r="R89" s="83">
        <v>0</v>
      </c>
      <c r="S89" s="83">
        <v>0</v>
      </c>
      <c r="T89" s="83">
        <v>1</v>
      </c>
      <c r="U89" s="83">
        <v>1</v>
      </c>
      <c r="V89" s="84">
        <v>0.52</v>
      </c>
      <c r="W89" s="84">
        <v>1</v>
      </c>
      <c r="X89" s="84">
        <v>0.66666666666666663</v>
      </c>
      <c r="Y89" s="84">
        <v>0.14285714285714285</v>
      </c>
      <c r="Z89" s="85">
        <v>22.1</v>
      </c>
      <c r="AA89" s="98" t="str">
        <f t="shared" ref="AA89:AA93" si="318">AA88</f>
        <v>REG</v>
      </c>
    </row>
    <row r="90" spans="1:539" ht="40" customHeight="1" x14ac:dyDescent="0.4">
      <c r="A90" s="96" t="str">
        <f t="shared" ref="A90:A91" si="319">A89</f>
        <v>MAGIC 2</v>
      </c>
      <c r="B90" s="96">
        <v>8</v>
      </c>
      <c r="C90" s="96">
        <f t="shared" si="317"/>
        <v>1</v>
      </c>
      <c r="D90" s="72" t="s">
        <v>43</v>
      </c>
      <c r="E90" s="86">
        <v>1</v>
      </c>
      <c r="F90" s="86">
        <v>4</v>
      </c>
      <c r="G90" s="86">
        <v>1</v>
      </c>
      <c r="H90" s="86">
        <v>4</v>
      </c>
      <c r="I90" s="86">
        <v>2</v>
      </c>
      <c r="J90" s="86">
        <v>8</v>
      </c>
      <c r="K90" s="86">
        <v>0</v>
      </c>
      <c r="L90" s="86">
        <v>0</v>
      </c>
      <c r="M90" s="86">
        <v>2</v>
      </c>
      <c r="N90" s="86">
        <v>11</v>
      </c>
      <c r="O90" s="86">
        <v>5</v>
      </c>
      <c r="P90" s="86">
        <v>13</v>
      </c>
      <c r="Q90" s="86">
        <v>1</v>
      </c>
      <c r="R90" s="86">
        <v>5</v>
      </c>
      <c r="S90" s="86">
        <v>2</v>
      </c>
      <c r="T90" s="86">
        <v>2</v>
      </c>
      <c r="U90" s="86">
        <v>2</v>
      </c>
      <c r="V90" s="87">
        <v>0.25</v>
      </c>
      <c r="W90" s="87">
        <v>0</v>
      </c>
      <c r="X90" s="87">
        <v>0.25</v>
      </c>
      <c r="Y90" s="87">
        <v>0.25</v>
      </c>
      <c r="Z90" s="88">
        <v>8.3000000000000007</v>
      </c>
      <c r="AA90" s="98" t="str">
        <f t="shared" si="318"/>
        <v>REG</v>
      </c>
    </row>
    <row r="91" spans="1:539" ht="40" customHeight="1" x14ac:dyDescent="0.4">
      <c r="A91" s="96" t="str">
        <f t="shared" si="319"/>
        <v>MAGIC 2</v>
      </c>
      <c r="B91" s="96">
        <v>8</v>
      </c>
      <c r="C91" s="96">
        <f t="shared" si="317"/>
        <v>1</v>
      </c>
      <c r="D91" s="72" t="s">
        <v>44</v>
      </c>
      <c r="E91" s="89">
        <v>2</v>
      </c>
      <c r="F91" s="89">
        <v>7</v>
      </c>
      <c r="G91" s="89">
        <v>0</v>
      </c>
      <c r="H91" s="89">
        <v>0</v>
      </c>
      <c r="I91" s="89">
        <v>2</v>
      </c>
      <c r="J91" s="89">
        <v>7</v>
      </c>
      <c r="K91" s="89">
        <v>0</v>
      </c>
      <c r="L91" s="89">
        <v>0</v>
      </c>
      <c r="M91" s="89">
        <v>2</v>
      </c>
      <c r="N91" s="89">
        <v>1</v>
      </c>
      <c r="O91" s="89">
        <v>4</v>
      </c>
      <c r="P91" s="89">
        <v>3</v>
      </c>
      <c r="Q91" s="89">
        <v>0</v>
      </c>
      <c r="R91" s="89">
        <v>0</v>
      </c>
      <c r="S91" s="89">
        <v>0</v>
      </c>
      <c r="T91" s="89">
        <v>1</v>
      </c>
      <c r="U91" s="89">
        <v>1</v>
      </c>
      <c r="V91" s="90">
        <v>0.2857142857142857</v>
      </c>
      <c r="W91" s="90">
        <v>0</v>
      </c>
      <c r="X91" s="90">
        <v>0.2857142857142857</v>
      </c>
      <c r="Y91" s="90">
        <v>0</v>
      </c>
      <c r="Z91" s="91">
        <v>0.20000000000000018</v>
      </c>
      <c r="AA91" s="98" t="str">
        <f t="shared" si="318"/>
        <v>REG</v>
      </c>
    </row>
    <row r="92" spans="1:539" ht="40" customHeight="1" x14ac:dyDescent="0.2">
      <c r="A92" s="96" t="str">
        <f>A91</f>
        <v>MAGIC 2</v>
      </c>
      <c r="B92" s="96">
        <v>8</v>
      </c>
      <c r="C92" s="96">
        <f t="shared" si="317"/>
        <v>1</v>
      </c>
      <c r="D92" s="96" t="s">
        <v>31</v>
      </c>
      <c r="E92" s="96">
        <f>SUM(E86:E91)</f>
        <v>24</v>
      </c>
      <c r="F92" s="96">
        <f t="shared" ref="F92" si="320">SUM(F86:F91)</f>
        <v>52</v>
      </c>
      <c r="G92" s="96">
        <f t="shared" ref="G92" si="321">SUM(G86:G91)</f>
        <v>2</v>
      </c>
      <c r="H92" s="96">
        <f t="shared" ref="H92" si="322">SUM(H86:H91)</f>
        <v>17</v>
      </c>
      <c r="I92" s="96">
        <f t="shared" ref="I92" si="323">SUM(I86:I91)</f>
        <v>26</v>
      </c>
      <c r="J92" s="96">
        <f t="shared" ref="J92" si="324">SUM(J86:J91)</f>
        <v>69</v>
      </c>
      <c r="K92" s="96">
        <f t="shared" ref="K92" si="325">SUM(K86:K91)</f>
        <v>6</v>
      </c>
      <c r="L92" s="96">
        <f t="shared" ref="L92" si="326">SUM(L86:L91)</f>
        <v>8</v>
      </c>
      <c r="M92" s="96">
        <f t="shared" ref="M92" si="327">SUM(M86:M91)</f>
        <v>10</v>
      </c>
      <c r="N92" s="96">
        <f t="shared" ref="N92" si="328">SUM(N86:N91)</f>
        <v>34</v>
      </c>
      <c r="O92" s="96">
        <f t="shared" ref="O92" si="329">SUM(O86:O91)</f>
        <v>60</v>
      </c>
      <c r="P92" s="96">
        <f t="shared" ref="P92" si="330">SUM(P86:P91)</f>
        <v>44</v>
      </c>
      <c r="Q92" s="96">
        <f t="shared" ref="Q92" si="331">SUM(Q86:Q91)</f>
        <v>8</v>
      </c>
      <c r="R92" s="96">
        <f t="shared" ref="R92" si="332">SUM(R86:R91)</f>
        <v>6</v>
      </c>
      <c r="S92" s="96">
        <f t="shared" ref="S92" si="333">SUM(S86:S91)</f>
        <v>2</v>
      </c>
      <c r="T92" s="96">
        <f t="shared" ref="T92" si="334">SUM(T86:T91)</f>
        <v>10</v>
      </c>
      <c r="U92" s="96">
        <f t="shared" ref="U92" si="335">SUM(U86:U91)</f>
        <v>6</v>
      </c>
      <c r="V92" s="99">
        <f t="shared" ref="V92" si="336">IFERROR(I92/J92,0)</f>
        <v>0.37681159420289856</v>
      </c>
      <c r="W92" s="99">
        <f t="shared" ref="W92" si="337">IFERROR(K92/L92,0)</f>
        <v>0.75</v>
      </c>
      <c r="X92" s="99">
        <f t="shared" ref="X92" si="338">IFERROR(E92/F92,0)</f>
        <v>0.46153846153846156</v>
      </c>
      <c r="Y92" s="99">
        <f t="shared" ref="Y92" si="339">IFERROR(G92/H92,0)</f>
        <v>0.11764705882352941</v>
      </c>
      <c r="Z92" s="100">
        <f>AVERAGE(Z86:Z91)</f>
        <v>6.3166666666666673</v>
      </c>
      <c r="AA92" s="100" t="str">
        <f t="shared" si="318"/>
        <v>REG</v>
      </c>
    </row>
    <row r="93" spans="1:539" ht="40" customHeight="1" x14ac:dyDescent="0.2">
      <c r="A93" s="96" t="s">
        <v>38</v>
      </c>
      <c r="B93" s="96">
        <v>8</v>
      </c>
      <c r="C93" s="96">
        <f t="shared" si="317"/>
        <v>1</v>
      </c>
      <c r="D93" s="96" t="s">
        <v>22</v>
      </c>
      <c r="E93" s="96"/>
      <c r="F93" s="96"/>
      <c r="G93" s="96"/>
      <c r="H93" s="96"/>
      <c r="I93" s="96"/>
      <c r="J93" s="96"/>
      <c r="K93" s="96"/>
      <c r="L93" s="96"/>
      <c r="M93" s="96"/>
      <c r="N93" s="96"/>
      <c r="O93" s="96">
        <v>68</v>
      </c>
      <c r="P93" s="96"/>
      <c r="Q93" s="96"/>
      <c r="R93" s="96"/>
      <c r="S93" s="96"/>
      <c r="T93" s="96"/>
      <c r="U93" s="96"/>
      <c r="V93" s="96"/>
      <c r="W93" s="96"/>
      <c r="X93" s="96"/>
      <c r="Y93" s="96"/>
      <c r="Z93" s="96"/>
      <c r="AA93" s="96" t="str">
        <f t="shared" si="318"/>
        <v>REG</v>
      </c>
    </row>
    <row r="94" spans="1:539" ht="40" customHeight="1" x14ac:dyDescent="0.4">
      <c r="A94" s="96" t="str">
        <f>A95</f>
        <v>LIGHTNING 2</v>
      </c>
      <c r="B94" s="96">
        <v>8</v>
      </c>
      <c r="C94" s="96">
        <f>C86+1</f>
        <v>2</v>
      </c>
      <c r="D94" s="72" t="s">
        <v>40</v>
      </c>
      <c r="E94" s="77">
        <v>6</v>
      </c>
      <c r="F94" s="77">
        <v>11</v>
      </c>
      <c r="G94" s="77">
        <v>0</v>
      </c>
      <c r="H94" s="77">
        <v>3</v>
      </c>
      <c r="I94" s="77">
        <v>6</v>
      </c>
      <c r="J94" s="77">
        <v>14</v>
      </c>
      <c r="K94" s="77">
        <v>1</v>
      </c>
      <c r="L94" s="77">
        <v>1</v>
      </c>
      <c r="M94" s="77">
        <v>5</v>
      </c>
      <c r="N94" s="77">
        <v>2</v>
      </c>
      <c r="O94" s="77">
        <v>13</v>
      </c>
      <c r="P94" s="77">
        <v>7</v>
      </c>
      <c r="Q94" s="77">
        <v>6</v>
      </c>
      <c r="R94" s="77">
        <v>1</v>
      </c>
      <c r="S94" s="77">
        <v>2</v>
      </c>
      <c r="T94" s="77">
        <v>3</v>
      </c>
      <c r="U94" s="77">
        <v>1</v>
      </c>
      <c r="V94" s="78">
        <v>0.42857142857142855</v>
      </c>
      <c r="W94" s="78">
        <v>1</v>
      </c>
      <c r="X94" s="78">
        <v>0.54545454545454541</v>
      </c>
      <c r="Y94" s="78">
        <v>0</v>
      </c>
      <c r="Z94" s="79">
        <v>13.200000000000003</v>
      </c>
      <c r="AA94" s="98" t="s">
        <v>33</v>
      </c>
    </row>
    <row r="95" spans="1:539" ht="40" customHeight="1" x14ac:dyDescent="0.4">
      <c r="A95" s="96" t="str">
        <f>D100</f>
        <v>LIGHTNING 2</v>
      </c>
      <c r="B95" s="96">
        <v>8</v>
      </c>
      <c r="C95" s="96">
        <f t="shared" ref="C95:C100" si="340">C94</f>
        <v>2</v>
      </c>
      <c r="D95" s="72" t="s">
        <v>41</v>
      </c>
      <c r="E95" s="80">
        <v>7</v>
      </c>
      <c r="F95" s="80">
        <v>13</v>
      </c>
      <c r="G95" s="80">
        <v>1</v>
      </c>
      <c r="H95" s="80">
        <v>4</v>
      </c>
      <c r="I95" s="80">
        <v>8</v>
      </c>
      <c r="J95" s="80">
        <v>17</v>
      </c>
      <c r="K95" s="80">
        <v>1</v>
      </c>
      <c r="L95" s="80">
        <v>1</v>
      </c>
      <c r="M95" s="80">
        <v>0</v>
      </c>
      <c r="N95" s="80">
        <v>3</v>
      </c>
      <c r="O95" s="80">
        <v>18</v>
      </c>
      <c r="P95" s="80">
        <v>3</v>
      </c>
      <c r="Q95" s="80">
        <v>3</v>
      </c>
      <c r="R95" s="80">
        <v>0</v>
      </c>
      <c r="S95" s="80">
        <v>2</v>
      </c>
      <c r="T95" s="80">
        <v>1</v>
      </c>
      <c r="U95" s="80">
        <v>3</v>
      </c>
      <c r="V95" s="81">
        <v>0.47058823529411764</v>
      </c>
      <c r="W95" s="81">
        <v>1</v>
      </c>
      <c r="X95" s="81">
        <v>0.53846153846153844</v>
      </c>
      <c r="Y95" s="81">
        <v>0.25</v>
      </c>
      <c r="Z95" s="82">
        <v>12.100000000000001</v>
      </c>
      <c r="AA95" s="98" t="str">
        <f>AA94</f>
        <v>REG</v>
      </c>
    </row>
    <row r="96" spans="1:539" ht="40" customHeight="1" x14ac:dyDescent="0.4">
      <c r="A96" s="96" t="str">
        <f>A95</f>
        <v>LIGHTNING 2</v>
      </c>
      <c r="B96" s="96">
        <v>8</v>
      </c>
      <c r="C96" s="96">
        <f t="shared" si="340"/>
        <v>2</v>
      </c>
      <c r="D96" s="72" t="s">
        <v>42</v>
      </c>
      <c r="E96" s="83">
        <v>12</v>
      </c>
      <c r="F96" s="83">
        <v>16</v>
      </c>
      <c r="G96" s="83">
        <v>2</v>
      </c>
      <c r="H96" s="83">
        <v>9</v>
      </c>
      <c r="I96" s="83">
        <v>14</v>
      </c>
      <c r="J96" s="83">
        <v>25</v>
      </c>
      <c r="K96" s="83">
        <v>1</v>
      </c>
      <c r="L96" s="83">
        <v>2</v>
      </c>
      <c r="M96" s="83">
        <v>2</v>
      </c>
      <c r="N96" s="83">
        <v>7</v>
      </c>
      <c r="O96" s="83">
        <v>31</v>
      </c>
      <c r="P96" s="83">
        <v>9</v>
      </c>
      <c r="Q96" s="83">
        <v>3</v>
      </c>
      <c r="R96" s="83">
        <v>1</v>
      </c>
      <c r="S96" s="83">
        <v>0</v>
      </c>
      <c r="T96" s="83">
        <v>1</v>
      </c>
      <c r="U96" s="83">
        <v>0</v>
      </c>
      <c r="V96" s="84">
        <v>0.56000000000000005</v>
      </c>
      <c r="W96" s="84">
        <v>0.5</v>
      </c>
      <c r="X96" s="84">
        <v>0.75</v>
      </c>
      <c r="Y96" s="84">
        <v>0.22222222222222221</v>
      </c>
      <c r="Z96" s="85">
        <v>24.000000000000004</v>
      </c>
      <c r="AA96" s="98" t="str">
        <f t="shared" ref="AA96:AA100" si="341">AA95</f>
        <v>REG</v>
      </c>
    </row>
    <row r="97" spans="1:27" ht="40" customHeight="1" x14ac:dyDescent="0.4">
      <c r="A97" s="96" t="str">
        <f t="shared" ref="A97:A98" si="342">A96</f>
        <v>LIGHTNING 2</v>
      </c>
      <c r="B97" s="96">
        <v>8</v>
      </c>
      <c r="C97" s="96">
        <f t="shared" si="340"/>
        <v>2</v>
      </c>
      <c r="D97" s="72" t="s">
        <v>43</v>
      </c>
      <c r="E97" s="86">
        <v>2</v>
      </c>
      <c r="F97" s="86">
        <v>7</v>
      </c>
      <c r="G97" s="86">
        <v>1</v>
      </c>
      <c r="H97" s="86">
        <v>2</v>
      </c>
      <c r="I97" s="86">
        <v>3</v>
      </c>
      <c r="J97" s="86">
        <v>9</v>
      </c>
      <c r="K97" s="86">
        <v>0</v>
      </c>
      <c r="L97" s="86">
        <v>0</v>
      </c>
      <c r="M97" s="86">
        <v>3</v>
      </c>
      <c r="N97" s="86">
        <v>15</v>
      </c>
      <c r="O97" s="86">
        <v>7</v>
      </c>
      <c r="P97" s="86">
        <v>18</v>
      </c>
      <c r="Q97" s="86">
        <v>8</v>
      </c>
      <c r="R97" s="86">
        <v>8</v>
      </c>
      <c r="S97" s="86">
        <v>3</v>
      </c>
      <c r="T97" s="86">
        <v>2</v>
      </c>
      <c r="U97" s="86">
        <v>2</v>
      </c>
      <c r="V97" s="87">
        <v>0.33333333333333331</v>
      </c>
      <c r="W97" s="87">
        <v>0</v>
      </c>
      <c r="X97" s="87">
        <v>0.2857142857142857</v>
      </c>
      <c r="Y97" s="87">
        <v>0.5</v>
      </c>
      <c r="Z97" s="88">
        <v>19.900000000000002</v>
      </c>
      <c r="AA97" s="98" t="str">
        <f t="shared" si="341"/>
        <v>REG</v>
      </c>
    </row>
    <row r="98" spans="1:27" ht="40" customHeight="1" x14ac:dyDescent="0.4">
      <c r="A98" s="96" t="str">
        <f t="shared" si="342"/>
        <v>LIGHTNING 2</v>
      </c>
      <c r="B98" s="96">
        <v>8</v>
      </c>
      <c r="C98" s="96">
        <f t="shared" si="340"/>
        <v>2</v>
      </c>
      <c r="D98" s="72" t="s">
        <v>44</v>
      </c>
      <c r="E98" s="89">
        <v>0</v>
      </c>
      <c r="F98" s="89">
        <v>4</v>
      </c>
      <c r="G98" s="89">
        <v>0</v>
      </c>
      <c r="H98" s="89">
        <v>4</v>
      </c>
      <c r="I98" s="89">
        <v>0</v>
      </c>
      <c r="J98" s="89">
        <v>8</v>
      </c>
      <c r="K98" s="89">
        <v>0</v>
      </c>
      <c r="L98" s="89">
        <v>0</v>
      </c>
      <c r="M98" s="89">
        <v>2</v>
      </c>
      <c r="N98" s="89">
        <v>7</v>
      </c>
      <c r="O98" s="89">
        <v>0</v>
      </c>
      <c r="P98" s="89">
        <v>9</v>
      </c>
      <c r="Q98" s="89">
        <v>2</v>
      </c>
      <c r="R98" s="89">
        <v>0</v>
      </c>
      <c r="S98" s="89">
        <v>2</v>
      </c>
      <c r="T98" s="89">
        <v>0</v>
      </c>
      <c r="U98" s="89">
        <v>2</v>
      </c>
      <c r="V98" s="90">
        <v>0</v>
      </c>
      <c r="W98" s="90">
        <v>0</v>
      </c>
      <c r="X98" s="90">
        <v>0</v>
      </c>
      <c r="Y98" s="90">
        <v>0</v>
      </c>
      <c r="Z98" s="91">
        <v>0.50000000000000067</v>
      </c>
      <c r="AA98" s="98" t="str">
        <f t="shared" si="341"/>
        <v>REG</v>
      </c>
    </row>
    <row r="99" spans="1:27" ht="40" customHeight="1" x14ac:dyDescent="0.4">
      <c r="A99" s="96" t="str">
        <f>A98</f>
        <v>LIGHTNING 2</v>
      </c>
      <c r="B99" s="96">
        <v>8</v>
      </c>
      <c r="C99" s="96">
        <f t="shared" si="340"/>
        <v>2</v>
      </c>
      <c r="D99" s="96" t="s">
        <v>31</v>
      </c>
      <c r="E99" s="76">
        <v>27</v>
      </c>
      <c r="F99" s="76">
        <v>51</v>
      </c>
      <c r="G99" s="76">
        <v>4</v>
      </c>
      <c r="H99" s="76">
        <v>22</v>
      </c>
      <c r="I99" s="76">
        <v>31</v>
      </c>
      <c r="J99" s="76">
        <v>73</v>
      </c>
      <c r="K99" s="76">
        <v>3</v>
      </c>
      <c r="L99" s="76">
        <v>4</v>
      </c>
      <c r="M99" s="76">
        <v>12</v>
      </c>
      <c r="N99" s="76">
        <v>34</v>
      </c>
      <c r="O99" s="76">
        <v>69</v>
      </c>
      <c r="P99" s="76">
        <v>46</v>
      </c>
      <c r="Q99" s="76">
        <v>22</v>
      </c>
      <c r="R99" s="76">
        <v>10</v>
      </c>
      <c r="S99" s="76">
        <v>9</v>
      </c>
      <c r="T99" s="76">
        <v>7</v>
      </c>
      <c r="U99" s="76">
        <v>8</v>
      </c>
      <c r="V99" s="92">
        <v>0.42465753424657532</v>
      </c>
      <c r="W99" s="92">
        <v>0.75</v>
      </c>
      <c r="X99" s="92">
        <v>0.52941176470588236</v>
      </c>
      <c r="Y99" s="92">
        <v>0.18181818181818182</v>
      </c>
      <c r="Z99" s="93">
        <v>13.940000000000003</v>
      </c>
      <c r="AA99" s="100" t="str">
        <f t="shared" si="341"/>
        <v>REG</v>
      </c>
    </row>
    <row r="100" spans="1:27" ht="40" customHeight="1" x14ac:dyDescent="0.4">
      <c r="A100" s="96" t="s">
        <v>38</v>
      </c>
      <c r="B100" s="96">
        <v>8</v>
      </c>
      <c r="C100" s="96">
        <f t="shared" si="340"/>
        <v>2</v>
      </c>
      <c r="D100" s="95" t="s">
        <v>36</v>
      </c>
      <c r="E100" s="94"/>
      <c r="F100" s="94"/>
      <c r="G100" s="94"/>
      <c r="H100" s="94"/>
      <c r="I100" s="94"/>
      <c r="J100" s="94"/>
      <c r="K100" s="94"/>
      <c r="L100" s="94"/>
      <c r="M100" s="94"/>
      <c r="N100" s="94"/>
      <c r="O100" s="94">
        <v>52</v>
      </c>
      <c r="P100" s="94"/>
      <c r="Q100" s="94"/>
      <c r="R100" s="94"/>
      <c r="S100" s="94"/>
      <c r="T100" s="94"/>
      <c r="U100" s="94"/>
      <c r="V100" s="94"/>
      <c r="W100" s="94"/>
      <c r="X100" s="94"/>
      <c r="Y100" s="94"/>
      <c r="Z100" s="96"/>
      <c r="AA100" s="96" t="str">
        <f t="shared" si="341"/>
        <v>REG</v>
      </c>
    </row>
    <row r="101" spans="1:27" ht="40" customHeight="1" x14ac:dyDescent="0.4">
      <c r="A101" s="96" t="str">
        <f>D107</f>
        <v>PANTHERS 2</v>
      </c>
      <c r="B101" s="96">
        <v>8</v>
      </c>
      <c r="C101" s="96">
        <f>C94+1</f>
        <v>3</v>
      </c>
      <c r="D101" s="72" t="s">
        <v>40</v>
      </c>
      <c r="E101" s="77">
        <v>11</v>
      </c>
      <c r="F101" s="77">
        <v>23</v>
      </c>
      <c r="G101" s="77">
        <v>1</v>
      </c>
      <c r="H101" s="77">
        <v>7</v>
      </c>
      <c r="I101" s="77">
        <v>12</v>
      </c>
      <c r="J101" s="77">
        <v>30</v>
      </c>
      <c r="K101" s="77">
        <v>1</v>
      </c>
      <c r="L101" s="77">
        <v>2</v>
      </c>
      <c r="M101" s="77">
        <v>8</v>
      </c>
      <c r="N101" s="77">
        <v>7</v>
      </c>
      <c r="O101" s="77">
        <v>26</v>
      </c>
      <c r="P101" s="77">
        <v>15</v>
      </c>
      <c r="Q101" s="77">
        <v>5</v>
      </c>
      <c r="R101" s="77">
        <v>1</v>
      </c>
      <c r="S101" s="77">
        <v>0</v>
      </c>
      <c r="T101" s="77">
        <v>1</v>
      </c>
      <c r="U101" s="77">
        <v>0</v>
      </c>
      <c r="V101" s="78">
        <v>0.4</v>
      </c>
      <c r="W101" s="78">
        <v>0.5</v>
      </c>
      <c r="X101" s="78">
        <v>0.47826086956521741</v>
      </c>
      <c r="Y101" s="78">
        <v>0.14285714285714285</v>
      </c>
      <c r="Z101" s="79">
        <v>20.3</v>
      </c>
      <c r="AA101" s="98" t="s">
        <v>33</v>
      </c>
    </row>
    <row r="102" spans="1:27" ht="40" customHeight="1" x14ac:dyDescent="0.4">
      <c r="A102" s="96" t="str">
        <f>A101</f>
        <v>PANTHERS 2</v>
      </c>
      <c r="B102" s="96">
        <v>8</v>
      </c>
      <c r="C102" s="96">
        <f t="shared" ref="C102:C107" si="343">C101</f>
        <v>3</v>
      </c>
      <c r="D102" s="72" t="s">
        <v>41</v>
      </c>
      <c r="E102" s="80">
        <v>1</v>
      </c>
      <c r="F102" s="80">
        <v>6</v>
      </c>
      <c r="G102" s="80">
        <v>0</v>
      </c>
      <c r="H102" s="80">
        <v>3</v>
      </c>
      <c r="I102" s="80">
        <v>1</v>
      </c>
      <c r="J102" s="80">
        <v>9</v>
      </c>
      <c r="K102" s="80">
        <v>1</v>
      </c>
      <c r="L102" s="80">
        <v>2</v>
      </c>
      <c r="M102" s="80">
        <v>0</v>
      </c>
      <c r="N102" s="80">
        <v>6</v>
      </c>
      <c r="O102" s="80">
        <v>3</v>
      </c>
      <c r="P102" s="80">
        <v>6</v>
      </c>
      <c r="Q102" s="80">
        <v>4</v>
      </c>
      <c r="R102" s="80">
        <v>0</v>
      </c>
      <c r="S102" s="80">
        <v>0</v>
      </c>
      <c r="T102" s="80">
        <v>0</v>
      </c>
      <c r="U102" s="80">
        <v>1</v>
      </c>
      <c r="V102" s="81">
        <v>0.1111111111111111</v>
      </c>
      <c r="W102" s="81">
        <v>0.5</v>
      </c>
      <c r="X102" s="81">
        <v>0.16666666666666666</v>
      </c>
      <c r="Y102" s="81">
        <v>0</v>
      </c>
      <c r="Z102" s="82">
        <v>0.8999999999999998</v>
      </c>
      <c r="AA102" s="98" t="str">
        <f>AA101</f>
        <v>REG</v>
      </c>
    </row>
    <row r="103" spans="1:27" ht="40" customHeight="1" x14ac:dyDescent="0.4">
      <c r="A103" s="96" t="str">
        <f>A102</f>
        <v>PANTHERS 2</v>
      </c>
      <c r="B103" s="96">
        <v>8</v>
      </c>
      <c r="C103" s="96">
        <f t="shared" si="343"/>
        <v>3</v>
      </c>
      <c r="D103" s="72" t="s">
        <v>42</v>
      </c>
      <c r="E103" s="83">
        <v>12</v>
      </c>
      <c r="F103" s="83">
        <v>16</v>
      </c>
      <c r="G103" s="83">
        <v>3</v>
      </c>
      <c r="H103" s="83">
        <v>14</v>
      </c>
      <c r="I103" s="83">
        <v>15</v>
      </c>
      <c r="J103" s="83">
        <v>30</v>
      </c>
      <c r="K103" s="83">
        <v>2</v>
      </c>
      <c r="L103" s="83">
        <v>2</v>
      </c>
      <c r="M103" s="83">
        <v>9</v>
      </c>
      <c r="N103" s="83">
        <v>8</v>
      </c>
      <c r="O103" s="83">
        <v>35</v>
      </c>
      <c r="P103" s="83">
        <v>17</v>
      </c>
      <c r="Q103" s="83">
        <v>4</v>
      </c>
      <c r="R103" s="83">
        <v>0</v>
      </c>
      <c r="S103" s="83">
        <v>1</v>
      </c>
      <c r="T103" s="83">
        <v>2</v>
      </c>
      <c r="U103" s="83">
        <v>0</v>
      </c>
      <c r="V103" s="84">
        <v>0.5</v>
      </c>
      <c r="W103" s="84">
        <v>1</v>
      </c>
      <c r="X103" s="84">
        <v>0.75</v>
      </c>
      <c r="Y103" s="84">
        <v>0.21428571428571427</v>
      </c>
      <c r="Z103" s="85">
        <v>30.5</v>
      </c>
      <c r="AA103" s="98" t="str">
        <f t="shared" ref="AA103:AA107" si="344">AA102</f>
        <v>REG</v>
      </c>
    </row>
    <row r="104" spans="1:27" ht="40" customHeight="1" x14ac:dyDescent="0.4">
      <c r="A104" s="96" t="str">
        <f t="shared" ref="A104:A105" si="345">A103</f>
        <v>PANTHERS 2</v>
      </c>
      <c r="B104" s="96">
        <v>8</v>
      </c>
      <c r="C104" s="96">
        <f t="shared" si="343"/>
        <v>3</v>
      </c>
      <c r="D104" s="72" t="s">
        <v>43</v>
      </c>
      <c r="E104" s="86">
        <v>7</v>
      </c>
      <c r="F104" s="86">
        <v>10</v>
      </c>
      <c r="G104" s="86">
        <v>0</v>
      </c>
      <c r="H104" s="86">
        <v>3</v>
      </c>
      <c r="I104" s="86">
        <v>7</v>
      </c>
      <c r="J104" s="86">
        <v>13</v>
      </c>
      <c r="K104" s="86">
        <v>3</v>
      </c>
      <c r="L104" s="86">
        <v>4</v>
      </c>
      <c r="M104" s="86">
        <v>11</v>
      </c>
      <c r="N104" s="86">
        <v>12</v>
      </c>
      <c r="O104" s="86">
        <v>17</v>
      </c>
      <c r="P104" s="86">
        <v>23</v>
      </c>
      <c r="Q104" s="86">
        <v>5</v>
      </c>
      <c r="R104" s="86">
        <v>4</v>
      </c>
      <c r="S104" s="86">
        <v>0</v>
      </c>
      <c r="T104" s="86">
        <v>1</v>
      </c>
      <c r="U104" s="86">
        <v>2</v>
      </c>
      <c r="V104" s="87">
        <v>0.53846153846153844</v>
      </c>
      <c r="W104" s="87">
        <v>0.75</v>
      </c>
      <c r="X104" s="87">
        <v>0.7</v>
      </c>
      <c r="Y104" s="87">
        <v>0</v>
      </c>
      <c r="Z104" s="88">
        <v>26.1</v>
      </c>
      <c r="AA104" s="98" t="str">
        <f t="shared" si="344"/>
        <v>REG</v>
      </c>
    </row>
    <row r="105" spans="1:27" ht="40" customHeight="1" x14ac:dyDescent="0.4">
      <c r="A105" s="96" t="str">
        <f t="shared" si="345"/>
        <v>PANTHERS 2</v>
      </c>
      <c r="B105" s="96">
        <v>8</v>
      </c>
      <c r="C105" s="96">
        <f t="shared" si="343"/>
        <v>3</v>
      </c>
      <c r="D105" s="72" t="s">
        <v>44</v>
      </c>
      <c r="E105" s="89">
        <v>5</v>
      </c>
      <c r="F105" s="89">
        <v>11</v>
      </c>
      <c r="G105" s="89">
        <v>2</v>
      </c>
      <c r="H105" s="89">
        <v>3</v>
      </c>
      <c r="I105" s="89">
        <v>7</v>
      </c>
      <c r="J105" s="89">
        <v>14</v>
      </c>
      <c r="K105" s="89">
        <v>1</v>
      </c>
      <c r="L105" s="89">
        <v>2</v>
      </c>
      <c r="M105" s="89">
        <v>2</v>
      </c>
      <c r="N105" s="89">
        <v>4</v>
      </c>
      <c r="O105" s="89">
        <v>17</v>
      </c>
      <c r="P105" s="89">
        <v>6</v>
      </c>
      <c r="Q105" s="89">
        <v>1</v>
      </c>
      <c r="R105" s="89">
        <v>0</v>
      </c>
      <c r="S105" s="89">
        <v>0</v>
      </c>
      <c r="T105" s="89">
        <v>3</v>
      </c>
      <c r="U105" s="89">
        <v>1</v>
      </c>
      <c r="V105" s="90">
        <v>0.5</v>
      </c>
      <c r="W105" s="90">
        <v>0.5</v>
      </c>
      <c r="X105" s="90">
        <v>0.45454545454545453</v>
      </c>
      <c r="Y105" s="90">
        <v>0.66666666666666663</v>
      </c>
      <c r="Z105" s="91">
        <v>9.5</v>
      </c>
      <c r="AA105" s="98" t="str">
        <f t="shared" si="344"/>
        <v>REG</v>
      </c>
    </row>
    <row r="106" spans="1:27" ht="40" customHeight="1" x14ac:dyDescent="0.4">
      <c r="A106" s="96" t="str">
        <f>A105</f>
        <v>PANTHERS 2</v>
      </c>
      <c r="B106" s="96">
        <v>8</v>
      </c>
      <c r="C106" s="96">
        <f t="shared" si="343"/>
        <v>3</v>
      </c>
      <c r="D106" s="72" t="s">
        <v>31</v>
      </c>
      <c r="E106" s="76">
        <v>36</v>
      </c>
      <c r="F106" s="76">
        <v>66</v>
      </c>
      <c r="G106" s="76">
        <v>6</v>
      </c>
      <c r="H106" s="76">
        <v>30</v>
      </c>
      <c r="I106" s="76">
        <v>42</v>
      </c>
      <c r="J106" s="76">
        <v>96</v>
      </c>
      <c r="K106" s="76">
        <v>8</v>
      </c>
      <c r="L106" s="76">
        <v>12</v>
      </c>
      <c r="M106" s="76">
        <v>30</v>
      </c>
      <c r="N106" s="76">
        <v>37</v>
      </c>
      <c r="O106" s="76">
        <v>98</v>
      </c>
      <c r="P106" s="76">
        <v>67</v>
      </c>
      <c r="Q106" s="76">
        <v>19</v>
      </c>
      <c r="R106" s="76">
        <v>5</v>
      </c>
      <c r="S106" s="76">
        <v>1</v>
      </c>
      <c r="T106" s="76">
        <v>7</v>
      </c>
      <c r="U106" s="76">
        <v>4</v>
      </c>
      <c r="V106" s="92">
        <v>0.4375</v>
      </c>
      <c r="W106" s="92">
        <v>0.66666666666666663</v>
      </c>
      <c r="X106" s="92">
        <v>0.54545454545454541</v>
      </c>
      <c r="Y106" s="92">
        <v>0.2</v>
      </c>
      <c r="Z106" s="93">
        <v>17.46</v>
      </c>
      <c r="AA106" s="100" t="str">
        <f t="shared" si="344"/>
        <v>REG</v>
      </c>
    </row>
    <row r="107" spans="1:27" ht="40" customHeight="1" x14ac:dyDescent="0.4">
      <c r="A107" s="96" t="s">
        <v>38</v>
      </c>
      <c r="B107" s="96">
        <v>8</v>
      </c>
      <c r="C107" s="96">
        <f t="shared" si="343"/>
        <v>3</v>
      </c>
      <c r="D107" s="94" t="s">
        <v>39</v>
      </c>
      <c r="E107" s="94"/>
      <c r="F107" s="94"/>
      <c r="G107" s="94"/>
      <c r="H107" s="94"/>
      <c r="I107" s="94"/>
      <c r="J107" s="94"/>
      <c r="K107" s="94"/>
      <c r="L107" s="94"/>
      <c r="M107" s="94"/>
      <c r="N107" s="94"/>
      <c r="O107" s="94">
        <v>58</v>
      </c>
      <c r="P107" s="94"/>
      <c r="Q107" s="94"/>
      <c r="R107" s="94"/>
      <c r="S107" s="94"/>
      <c r="T107" s="94"/>
      <c r="U107" s="94"/>
      <c r="V107" s="94"/>
      <c r="W107" s="94"/>
      <c r="X107" s="94"/>
      <c r="Y107" s="94"/>
      <c r="Z107" s="94"/>
      <c r="AA107" s="96" t="str">
        <f t="shared" si="344"/>
        <v>REG</v>
      </c>
    </row>
    <row r="108" spans="1:27" ht="40" customHeight="1" x14ac:dyDescent="0.4">
      <c r="A108" s="96" t="str">
        <f>D115</f>
        <v>MAGIC 1</v>
      </c>
      <c r="B108" s="96">
        <v>8</v>
      </c>
      <c r="C108" s="96">
        <f>C109</f>
        <v>4</v>
      </c>
      <c r="D108" s="72" t="s">
        <v>51</v>
      </c>
      <c r="E108" s="73">
        <v>0</v>
      </c>
      <c r="F108" s="73">
        <v>0</v>
      </c>
      <c r="G108" s="73">
        <v>0</v>
      </c>
      <c r="H108" s="73">
        <v>1</v>
      </c>
      <c r="I108" s="73">
        <v>0</v>
      </c>
      <c r="J108" s="73">
        <v>1</v>
      </c>
      <c r="K108" s="73">
        <v>0</v>
      </c>
      <c r="L108" s="73">
        <v>0</v>
      </c>
      <c r="M108" s="73">
        <v>1</v>
      </c>
      <c r="N108" s="73">
        <v>3</v>
      </c>
      <c r="O108" s="73">
        <v>0</v>
      </c>
      <c r="P108" s="73">
        <v>4</v>
      </c>
      <c r="Q108" s="73">
        <v>3</v>
      </c>
      <c r="R108" s="73">
        <v>0</v>
      </c>
      <c r="S108" s="73">
        <v>0</v>
      </c>
      <c r="T108" s="73">
        <v>1</v>
      </c>
      <c r="U108" s="73">
        <v>0</v>
      </c>
      <c r="V108" s="74">
        <v>0</v>
      </c>
      <c r="W108" s="74">
        <v>0</v>
      </c>
      <c r="X108" s="74">
        <v>0</v>
      </c>
      <c r="Y108" s="74">
        <v>0</v>
      </c>
      <c r="Z108" s="75">
        <v>1.9999999999999996</v>
      </c>
      <c r="AA108" s="100" t="str">
        <f>AA109</f>
        <v>REG</v>
      </c>
    </row>
    <row r="109" spans="1:27" ht="40" customHeight="1" x14ac:dyDescent="0.4">
      <c r="A109" s="96" t="str">
        <f>D115</f>
        <v>MAGIC 1</v>
      </c>
      <c r="B109" s="96">
        <v>8</v>
      </c>
      <c r="C109" s="96">
        <f>C101+1</f>
        <v>4</v>
      </c>
      <c r="D109" s="72" t="s">
        <v>40</v>
      </c>
      <c r="E109" s="77">
        <v>5</v>
      </c>
      <c r="F109" s="77">
        <v>16</v>
      </c>
      <c r="G109" s="77">
        <v>0</v>
      </c>
      <c r="H109" s="77">
        <v>2</v>
      </c>
      <c r="I109" s="77">
        <v>5</v>
      </c>
      <c r="J109" s="77">
        <v>18</v>
      </c>
      <c r="K109" s="77">
        <v>0</v>
      </c>
      <c r="L109" s="77">
        <v>2</v>
      </c>
      <c r="M109" s="77">
        <v>7</v>
      </c>
      <c r="N109" s="77">
        <v>16</v>
      </c>
      <c r="O109" s="77">
        <v>10</v>
      </c>
      <c r="P109" s="77">
        <v>23</v>
      </c>
      <c r="Q109" s="77">
        <v>6</v>
      </c>
      <c r="R109" s="77">
        <v>1</v>
      </c>
      <c r="S109" s="77">
        <v>1</v>
      </c>
      <c r="T109" s="77">
        <v>3</v>
      </c>
      <c r="U109" s="77">
        <v>0</v>
      </c>
      <c r="V109" s="78">
        <v>0.27777777777777779</v>
      </c>
      <c r="W109" s="78">
        <v>0</v>
      </c>
      <c r="X109" s="78">
        <v>0.3125</v>
      </c>
      <c r="Y109" s="78">
        <v>0</v>
      </c>
      <c r="Z109" s="79">
        <v>11.2</v>
      </c>
      <c r="AA109" s="98" t="s">
        <v>33</v>
      </c>
    </row>
    <row r="110" spans="1:27" ht="40" customHeight="1" x14ac:dyDescent="0.4">
      <c r="A110" s="96" t="str">
        <f>A109</f>
        <v>MAGIC 1</v>
      </c>
      <c r="B110" s="96">
        <v>8</v>
      </c>
      <c r="C110" s="96">
        <f t="shared" ref="C110:C115" si="346">C109</f>
        <v>4</v>
      </c>
      <c r="D110" s="72" t="s">
        <v>41</v>
      </c>
      <c r="E110" s="80">
        <v>7</v>
      </c>
      <c r="F110" s="80">
        <v>13</v>
      </c>
      <c r="G110" s="80">
        <v>0</v>
      </c>
      <c r="H110" s="80">
        <v>1</v>
      </c>
      <c r="I110" s="80">
        <v>7</v>
      </c>
      <c r="J110" s="80">
        <v>14</v>
      </c>
      <c r="K110" s="80">
        <v>1</v>
      </c>
      <c r="L110" s="80">
        <v>1</v>
      </c>
      <c r="M110" s="80">
        <v>1</v>
      </c>
      <c r="N110" s="80">
        <v>2</v>
      </c>
      <c r="O110" s="80">
        <v>15</v>
      </c>
      <c r="P110" s="80">
        <v>3</v>
      </c>
      <c r="Q110" s="80">
        <v>1</v>
      </c>
      <c r="R110" s="80">
        <v>1</v>
      </c>
      <c r="S110" s="80">
        <v>0</v>
      </c>
      <c r="T110" s="80">
        <v>1</v>
      </c>
      <c r="U110" s="80">
        <v>1</v>
      </c>
      <c r="V110" s="81">
        <v>0.5</v>
      </c>
      <c r="W110" s="81">
        <v>1</v>
      </c>
      <c r="X110" s="81">
        <v>0.53846153846153844</v>
      </c>
      <c r="Y110" s="81">
        <v>0</v>
      </c>
      <c r="Z110" s="82">
        <v>9.2999999999999989</v>
      </c>
      <c r="AA110" s="98" t="str">
        <f>AA109</f>
        <v>REG</v>
      </c>
    </row>
    <row r="111" spans="1:27" ht="40" customHeight="1" x14ac:dyDescent="0.4">
      <c r="A111" s="96" t="str">
        <f>A110</f>
        <v>MAGIC 1</v>
      </c>
      <c r="B111" s="96">
        <v>8</v>
      </c>
      <c r="C111" s="96">
        <f t="shared" si="346"/>
        <v>4</v>
      </c>
      <c r="D111" s="72" t="s">
        <v>42</v>
      </c>
      <c r="E111" s="83">
        <v>5</v>
      </c>
      <c r="F111" s="83">
        <v>15</v>
      </c>
      <c r="G111" s="83">
        <v>4</v>
      </c>
      <c r="H111" s="83">
        <v>11</v>
      </c>
      <c r="I111" s="83">
        <v>9</v>
      </c>
      <c r="J111" s="83">
        <v>26</v>
      </c>
      <c r="K111" s="83">
        <v>2</v>
      </c>
      <c r="L111" s="83">
        <v>2</v>
      </c>
      <c r="M111" s="83">
        <v>2</v>
      </c>
      <c r="N111" s="83">
        <v>4</v>
      </c>
      <c r="O111" s="83">
        <v>24</v>
      </c>
      <c r="P111" s="83">
        <v>6</v>
      </c>
      <c r="Q111" s="83">
        <v>1</v>
      </c>
      <c r="R111" s="83">
        <v>0</v>
      </c>
      <c r="S111" s="83">
        <v>0</v>
      </c>
      <c r="T111" s="83">
        <v>4</v>
      </c>
      <c r="U111" s="83">
        <v>0</v>
      </c>
      <c r="V111" s="84">
        <v>0.34615384615384615</v>
      </c>
      <c r="W111" s="84">
        <v>1</v>
      </c>
      <c r="X111" s="84">
        <v>0.33333333333333331</v>
      </c>
      <c r="Y111" s="84">
        <v>0.36363636363636365</v>
      </c>
      <c r="Z111" s="85">
        <v>8.7000000000000011</v>
      </c>
      <c r="AA111" s="98" t="str">
        <f t="shared" ref="AA111:AA115" si="347">AA110</f>
        <v>REG</v>
      </c>
    </row>
    <row r="112" spans="1:27" ht="40" customHeight="1" x14ac:dyDescent="0.4">
      <c r="A112" s="96" t="str">
        <f t="shared" ref="A112:A113" si="348">A111</f>
        <v>MAGIC 1</v>
      </c>
      <c r="B112" s="96">
        <v>8</v>
      </c>
      <c r="C112" s="96">
        <f t="shared" si="346"/>
        <v>4</v>
      </c>
      <c r="D112" s="72" t="s">
        <v>43</v>
      </c>
      <c r="E112" s="86">
        <v>2</v>
      </c>
      <c r="F112" s="86">
        <v>5</v>
      </c>
      <c r="G112" s="86">
        <v>0</v>
      </c>
      <c r="H112" s="86">
        <v>1</v>
      </c>
      <c r="I112" s="86">
        <v>2</v>
      </c>
      <c r="J112" s="86">
        <v>6</v>
      </c>
      <c r="K112" s="86">
        <v>1</v>
      </c>
      <c r="L112" s="86">
        <v>2</v>
      </c>
      <c r="M112" s="86">
        <v>2</v>
      </c>
      <c r="N112" s="86">
        <v>8</v>
      </c>
      <c r="O112" s="86">
        <v>5</v>
      </c>
      <c r="P112" s="86">
        <v>10</v>
      </c>
      <c r="Q112" s="86">
        <v>3</v>
      </c>
      <c r="R112" s="86">
        <v>5</v>
      </c>
      <c r="S112" s="86">
        <v>2</v>
      </c>
      <c r="T112" s="86">
        <v>1</v>
      </c>
      <c r="U112" s="86">
        <v>0</v>
      </c>
      <c r="V112" s="87">
        <v>0.33333333333333331</v>
      </c>
      <c r="W112" s="87">
        <v>0.5</v>
      </c>
      <c r="X112" s="87">
        <v>0.4</v>
      </c>
      <c r="Y112" s="87">
        <v>0</v>
      </c>
      <c r="Z112" s="88">
        <v>11.6</v>
      </c>
      <c r="AA112" s="98" t="str">
        <f t="shared" si="347"/>
        <v>REG</v>
      </c>
    </row>
    <row r="113" spans="1:27" ht="40" customHeight="1" x14ac:dyDescent="0.4">
      <c r="A113" s="96" t="str">
        <f t="shared" si="348"/>
        <v>MAGIC 1</v>
      </c>
      <c r="B113" s="96">
        <v>8</v>
      </c>
      <c r="C113" s="96">
        <f t="shared" si="346"/>
        <v>4</v>
      </c>
      <c r="D113" s="72" t="s">
        <v>44</v>
      </c>
      <c r="E113" s="89">
        <v>1</v>
      </c>
      <c r="F113" s="89">
        <v>2</v>
      </c>
      <c r="G113" s="89">
        <v>0</v>
      </c>
      <c r="H113" s="89">
        <v>0</v>
      </c>
      <c r="I113" s="89">
        <v>1</v>
      </c>
      <c r="J113" s="89">
        <v>2</v>
      </c>
      <c r="K113" s="89">
        <v>0</v>
      </c>
      <c r="L113" s="89">
        <v>0</v>
      </c>
      <c r="M113" s="89">
        <v>1</v>
      </c>
      <c r="N113" s="89">
        <v>2</v>
      </c>
      <c r="O113" s="89">
        <v>2</v>
      </c>
      <c r="P113" s="89">
        <v>3</v>
      </c>
      <c r="Q113" s="89">
        <v>1</v>
      </c>
      <c r="R113" s="89">
        <v>0</v>
      </c>
      <c r="S113" s="89">
        <v>0</v>
      </c>
      <c r="T113" s="89">
        <v>0</v>
      </c>
      <c r="U113" s="89">
        <v>0</v>
      </c>
      <c r="V113" s="90">
        <v>0.5</v>
      </c>
      <c r="W113" s="90">
        <v>0</v>
      </c>
      <c r="X113" s="90">
        <v>0.5</v>
      </c>
      <c r="Y113" s="90">
        <v>0</v>
      </c>
      <c r="Z113" s="91">
        <v>3</v>
      </c>
      <c r="AA113" s="98" t="str">
        <f t="shared" si="347"/>
        <v>REG</v>
      </c>
    </row>
    <row r="114" spans="1:27" ht="40" customHeight="1" x14ac:dyDescent="0.4">
      <c r="A114" s="96" t="str">
        <f>A113</f>
        <v>MAGIC 1</v>
      </c>
      <c r="B114" s="96">
        <v>8</v>
      </c>
      <c r="C114" s="96">
        <f t="shared" si="346"/>
        <v>4</v>
      </c>
      <c r="D114" s="72" t="s">
        <v>31</v>
      </c>
      <c r="E114" s="76">
        <f>SUM(E108:E113)</f>
        <v>20</v>
      </c>
      <c r="F114" s="76">
        <f t="shared" ref="F114:U114" si="349">SUM(F108:F113)</f>
        <v>51</v>
      </c>
      <c r="G114" s="76">
        <f t="shared" si="349"/>
        <v>4</v>
      </c>
      <c r="H114" s="76">
        <f t="shared" si="349"/>
        <v>16</v>
      </c>
      <c r="I114" s="76">
        <f t="shared" si="349"/>
        <v>24</v>
      </c>
      <c r="J114" s="76">
        <f t="shared" si="349"/>
        <v>67</v>
      </c>
      <c r="K114" s="76">
        <f t="shared" si="349"/>
        <v>4</v>
      </c>
      <c r="L114" s="76">
        <f t="shared" si="349"/>
        <v>7</v>
      </c>
      <c r="M114" s="76">
        <f t="shared" si="349"/>
        <v>14</v>
      </c>
      <c r="N114" s="76">
        <f t="shared" si="349"/>
        <v>35</v>
      </c>
      <c r="O114" s="76">
        <f t="shared" si="349"/>
        <v>56</v>
      </c>
      <c r="P114" s="76">
        <f t="shared" si="349"/>
        <v>49</v>
      </c>
      <c r="Q114" s="76">
        <f t="shared" si="349"/>
        <v>15</v>
      </c>
      <c r="R114" s="76">
        <f t="shared" si="349"/>
        <v>7</v>
      </c>
      <c r="S114" s="76">
        <f t="shared" si="349"/>
        <v>3</v>
      </c>
      <c r="T114" s="76">
        <f t="shared" si="349"/>
        <v>10</v>
      </c>
      <c r="U114" s="76">
        <f t="shared" si="349"/>
        <v>1</v>
      </c>
      <c r="V114" s="92">
        <v>0.35820895522388058</v>
      </c>
      <c r="W114" s="92">
        <v>0.5714285714285714</v>
      </c>
      <c r="X114" s="92">
        <v>0.39215686274509803</v>
      </c>
      <c r="Y114" s="92">
        <v>0.25</v>
      </c>
      <c r="Z114" s="93">
        <f>AVERAGE(Z108:Z113)</f>
        <v>7.6333333333333337</v>
      </c>
      <c r="AA114" s="100" t="str">
        <f t="shared" si="347"/>
        <v>REG</v>
      </c>
    </row>
    <row r="115" spans="1:27" ht="40" customHeight="1" x14ac:dyDescent="0.4">
      <c r="A115" s="96" t="s">
        <v>38</v>
      </c>
      <c r="B115" s="96">
        <v>8</v>
      </c>
      <c r="C115" s="96">
        <f t="shared" si="346"/>
        <v>4</v>
      </c>
      <c r="D115" s="94" t="s">
        <v>35</v>
      </c>
      <c r="E115" s="94"/>
      <c r="F115" s="94"/>
      <c r="G115" s="94"/>
      <c r="H115" s="94"/>
      <c r="I115" s="94"/>
      <c r="J115" s="94"/>
      <c r="K115" s="94"/>
      <c r="L115" s="94"/>
      <c r="M115" s="94"/>
      <c r="N115" s="94"/>
      <c r="O115" s="94">
        <v>49</v>
      </c>
      <c r="P115" s="94"/>
      <c r="Q115" s="94"/>
      <c r="R115" s="94"/>
      <c r="S115" s="94"/>
      <c r="T115" s="94"/>
      <c r="U115" s="94"/>
      <c r="V115" s="94"/>
      <c r="W115" s="94"/>
      <c r="X115" s="94"/>
      <c r="Y115" s="94"/>
      <c r="Z115" s="94"/>
      <c r="AA115" s="96" t="str">
        <f t="shared" si="347"/>
        <v>REG</v>
      </c>
    </row>
    <row r="116" spans="1:27" ht="40" customHeight="1" x14ac:dyDescent="0.4">
      <c r="A116" s="96" t="str">
        <f>A117</f>
        <v>LIGHTNING 1</v>
      </c>
      <c r="B116" s="96">
        <v>8</v>
      </c>
      <c r="C116" s="96">
        <f>C109+1</f>
        <v>5</v>
      </c>
      <c r="D116" s="72" t="s">
        <v>40</v>
      </c>
      <c r="E116" s="77">
        <v>5</v>
      </c>
      <c r="F116" s="77">
        <v>15</v>
      </c>
      <c r="G116" s="77">
        <v>1</v>
      </c>
      <c r="H116" s="77">
        <v>2</v>
      </c>
      <c r="I116" s="77">
        <v>6</v>
      </c>
      <c r="J116" s="77">
        <v>17</v>
      </c>
      <c r="K116" s="77">
        <v>1</v>
      </c>
      <c r="L116" s="77">
        <v>1</v>
      </c>
      <c r="M116" s="77">
        <v>5</v>
      </c>
      <c r="N116" s="77">
        <v>5</v>
      </c>
      <c r="O116" s="77">
        <v>14</v>
      </c>
      <c r="P116" s="77">
        <v>10</v>
      </c>
      <c r="Q116" s="77">
        <v>4</v>
      </c>
      <c r="R116" s="77">
        <v>0</v>
      </c>
      <c r="S116" s="77">
        <v>1</v>
      </c>
      <c r="T116" s="77">
        <v>2</v>
      </c>
      <c r="U116" s="77">
        <v>1</v>
      </c>
      <c r="V116" s="78">
        <v>0.35294117647058826</v>
      </c>
      <c r="W116" s="78">
        <v>1</v>
      </c>
      <c r="X116" s="78">
        <v>0.33333333333333331</v>
      </c>
      <c r="Y116" s="78">
        <v>0.5</v>
      </c>
      <c r="Z116" s="79">
        <v>10.9</v>
      </c>
      <c r="AA116" s="98" t="s">
        <v>33</v>
      </c>
    </row>
    <row r="117" spans="1:27" ht="40" customHeight="1" x14ac:dyDescent="0.4">
      <c r="A117" s="96" t="str">
        <f>D122</f>
        <v>LIGHTNING 1</v>
      </c>
      <c r="B117" s="96">
        <v>8</v>
      </c>
      <c r="C117" s="96">
        <f t="shared" ref="C117:C122" si="350">C116</f>
        <v>5</v>
      </c>
      <c r="D117" s="72" t="s">
        <v>41</v>
      </c>
      <c r="E117" s="80">
        <v>2</v>
      </c>
      <c r="F117" s="80">
        <v>6</v>
      </c>
      <c r="G117" s="80">
        <v>1</v>
      </c>
      <c r="H117" s="80">
        <v>1</v>
      </c>
      <c r="I117" s="80">
        <v>3</v>
      </c>
      <c r="J117" s="80">
        <v>7</v>
      </c>
      <c r="K117" s="80">
        <v>1</v>
      </c>
      <c r="L117" s="80">
        <v>2</v>
      </c>
      <c r="M117" s="80">
        <v>0</v>
      </c>
      <c r="N117" s="80">
        <v>3</v>
      </c>
      <c r="O117" s="80">
        <v>8</v>
      </c>
      <c r="P117" s="80">
        <v>3</v>
      </c>
      <c r="Q117" s="80">
        <v>3</v>
      </c>
      <c r="R117" s="80">
        <v>0</v>
      </c>
      <c r="S117" s="80">
        <v>2</v>
      </c>
      <c r="T117" s="80">
        <v>0</v>
      </c>
      <c r="U117" s="80">
        <v>1</v>
      </c>
      <c r="V117" s="81">
        <v>0.42857142857142855</v>
      </c>
      <c r="W117" s="81">
        <v>0.5</v>
      </c>
      <c r="X117" s="81">
        <v>0.33333333333333331</v>
      </c>
      <c r="Y117" s="81">
        <v>1</v>
      </c>
      <c r="Z117" s="82">
        <v>8.4999999999999982</v>
      </c>
      <c r="AA117" s="98" t="str">
        <f>AA116</f>
        <v>REG</v>
      </c>
    </row>
    <row r="118" spans="1:27" ht="40" customHeight="1" x14ac:dyDescent="0.4">
      <c r="A118" s="96" t="str">
        <f>A117</f>
        <v>LIGHTNING 1</v>
      </c>
      <c r="B118" s="96">
        <v>8</v>
      </c>
      <c r="C118" s="96">
        <f t="shared" si="350"/>
        <v>5</v>
      </c>
      <c r="D118" s="72" t="s">
        <v>42</v>
      </c>
      <c r="E118" s="83">
        <v>12</v>
      </c>
      <c r="F118" s="83">
        <v>29</v>
      </c>
      <c r="G118" s="83">
        <v>0</v>
      </c>
      <c r="H118" s="83">
        <v>2</v>
      </c>
      <c r="I118" s="83">
        <v>12</v>
      </c>
      <c r="J118" s="83">
        <v>31</v>
      </c>
      <c r="K118" s="83">
        <v>4</v>
      </c>
      <c r="L118" s="83">
        <v>5</v>
      </c>
      <c r="M118" s="83">
        <v>4</v>
      </c>
      <c r="N118" s="83">
        <v>4</v>
      </c>
      <c r="O118" s="83">
        <v>28</v>
      </c>
      <c r="P118" s="83">
        <v>8</v>
      </c>
      <c r="Q118" s="83">
        <v>3</v>
      </c>
      <c r="R118" s="83">
        <v>0</v>
      </c>
      <c r="S118" s="83">
        <v>0</v>
      </c>
      <c r="T118" s="83">
        <v>1</v>
      </c>
      <c r="U118" s="83">
        <v>1</v>
      </c>
      <c r="V118" s="84">
        <v>0.38709677419354838</v>
      </c>
      <c r="W118" s="84">
        <v>0.8</v>
      </c>
      <c r="X118" s="84">
        <v>0.41379310344827586</v>
      </c>
      <c r="Y118" s="84">
        <v>0</v>
      </c>
      <c r="Z118" s="85">
        <v>15.399999999999999</v>
      </c>
      <c r="AA118" s="98" t="str">
        <f t="shared" ref="AA118:AA122" si="351">AA117</f>
        <v>REG</v>
      </c>
    </row>
    <row r="119" spans="1:27" ht="40" customHeight="1" x14ac:dyDescent="0.4">
      <c r="A119" s="96" t="str">
        <f t="shared" ref="A119:A120" si="352">A118</f>
        <v>LIGHTNING 1</v>
      </c>
      <c r="B119" s="96">
        <v>8</v>
      </c>
      <c r="C119" s="96">
        <f t="shared" si="350"/>
        <v>5</v>
      </c>
      <c r="D119" s="72" t="s">
        <v>43</v>
      </c>
      <c r="E119" s="86">
        <v>2</v>
      </c>
      <c r="F119" s="86">
        <v>5</v>
      </c>
      <c r="G119" s="86">
        <v>1</v>
      </c>
      <c r="H119" s="86">
        <v>1</v>
      </c>
      <c r="I119" s="86">
        <v>3</v>
      </c>
      <c r="J119" s="86">
        <v>6</v>
      </c>
      <c r="K119" s="86">
        <v>0</v>
      </c>
      <c r="L119" s="86">
        <v>0</v>
      </c>
      <c r="M119" s="86">
        <v>2</v>
      </c>
      <c r="N119" s="86">
        <v>14</v>
      </c>
      <c r="O119" s="86">
        <v>7</v>
      </c>
      <c r="P119" s="86">
        <v>16</v>
      </c>
      <c r="Q119" s="86">
        <v>7</v>
      </c>
      <c r="R119" s="86">
        <v>6</v>
      </c>
      <c r="S119" s="86">
        <v>2</v>
      </c>
      <c r="T119" s="86">
        <v>4</v>
      </c>
      <c r="U119" s="86">
        <v>0</v>
      </c>
      <c r="V119" s="87">
        <v>0.5</v>
      </c>
      <c r="W119" s="87">
        <v>0</v>
      </c>
      <c r="X119" s="87">
        <v>0.4</v>
      </c>
      <c r="Y119" s="87">
        <v>1</v>
      </c>
      <c r="Z119" s="88">
        <v>16.7</v>
      </c>
      <c r="AA119" s="98" t="str">
        <f t="shared" si="351"/>
        <v>REG</v>
      </c>
    </row>
    <row r="120" spans="1:27" ht="40" customHeight="1" x14ac:dyDescent="0.4">
      <c r="A120" s="96" t="str">
        <f t="shared" si="352"/>
        <v>LIGHTNING 1</v>
      </c>
      <c r="B120" s="96">
        <v>8</v>
      </c>
      <c r="C120" s="96">
        <f t="shared" si="350"/>
        <v>5</v>
      </c>
      <c r="D120" s="72" t="s">
        <v>44</v>
      </c>
      <c r="E120" s="89">
        <v>2</v>
      </c>
      <c r="F120" s="89">
        <v>2</v>
      </c>
      <c r="G120" s="89">
        <v>0</v>
      </c>
      <c r="H120" s="89">
        <v>1</v>
      </c>
      <c r="I120" s="89">
        <v>2</v>
      </c>
      <c r="J120" s="89">
        <v>3</v>
      </c>
      <c r="K120" s="89">
        <v>0</v>
      </c>
      <c r="L120" s="89">
        <v>1</v>
      </c>
      <c r="M120" s="89">
        <v>0</v>
      </c>
      <c r="N120" s="89">
        <v>0</v>
      </c>
      <c r="O120" s="89">
        <v>4</v>
      </c>
      <c r="P120" s="89">
        <v>0</v>
      </c>
      <c r="Q120" s="89">
        <v>1</v>
      </c>
      <c r="R120" s="89">
        <v>0</v>
      </c>
      <c r="S120" s="89">
        <v>0</v>
      </c>
      <c r="T120" s="89">
        <v>1</v>
      </c>
      <c r="U120" s="89">
        <v>1</v>
      </c>
      <c r="V120" s="90">
        <v>0.66666666666666663</v>
      </c>
      <c r="W120" s="90">
        <v>0</v>
      </c>
      <c r="X120" s="90">
        <v>1</v>
      </c>
      <c r="Y120" s="90">
        <v>0</v>
      </c>
      <c r="Z120" s="91">
        <v>1.6</v>
      </c>
      <c r="AA120" s="98" t="str">
        <f t="shared" si="351"/>
        <v>REG</v>
      </c>
    </row>
    <row r="121" spans="1:27" ht="40" customHeight="1" x14ac:dyDescent="0.4">
      <c r="A121" s="96" t="str">
        <f>A120</f>
        <v>LIGHTNING 1</v>
      </c>
      <c r="B121" s="96">
        <v>8</v>
      </c>
      <c r="C121" s="96">
        <f t="shared" si="350"/>
        <v>5</v>
      </c>
      <c r="D121" s="72" t="s">
        <v>31</v>
      </c>
      <c r="E121" s="76">
        <v>23</v>
      </c>
      <c r="F121" s="76">
        <v>57</v>
      </c>
      <c r="G121" s="76">
        <v>3</v>
      </c>
      <c r="H121" s="76">
        <v>7</v>
      </c>
      <c r="I121" s="76">
        <v>26</v>
      </c>
      <c r="J121" s="76">
        <v>64</v>
      </c>
      <c r="K121" s="76">
        <v>6</v>
      </c>
      <c r="L121" s="76">
        <v>9</v>
      </c>
      <c r="M121" s="76">
        <v>11</v>
      </c>
      <c r="N121" s="76">
        <v>26</v>
      </c>
      <c r="O121" s="76">
        <v>61</v>
      </c>
      <c r="P121" s="76">
        <v>37</v>
      </c>
      <c r="Q121" s="76">
        <v>18</v>
      </c>
      <c r="R121" s="76">
        <v>6</v>
      </c>
      <c r="S121" s="76">
        <v>5</v>
      </c>
      <c r="T121" s="76">
        <v>8</v>
      </c>
      <c r="U121" s="76">
        <v>4</v>
      </c>
      <c r="V121" s="92">
        <v>0.40625</v>
      </c>
      <c r="W121" s="92">
        <v>0.66666666666666663</v>
      </c>
      <c r="X121" s="92">
        <v>0.40350877192982454</v>
      </c>
      <c r="Y121" s="92">
        <v>0.42857142857142855</v>
      </c>
      <c r="Z121" s="93">
        <v>10.620000000000001</v>
      </c>
      <c r="AA121" s="100" t="str">
        <f t="shared" si="351"/>
        <v>REG</v>
      </c>
    </row>
    <row r="122" spans="1:27" ht="40" customHeight="1" x14ac:dyDescent="0.4">
      <c r="A122" s="96" t="s">
        <v>38</v>
      </c>
      <c r="B122" s="96">
        <v>8</v>
      </c>
      <c r="C122" s="96">
        <f t="shared" si="350"/>
        <v>5</v>
      </c>
      <c r="D122" s="94" t="s">
        <v>28</v>
      </c>
      <c r="E122" s="94"/>
      <c r="F122" s="94"/>
      <c r="G122" s="94"/>
      <c r="H122" s="94"/>
      <c r="I122" s="94"/>
      <c r="J122" s="94"/>
      <c r="K122" s="94"/>
      <c r="L122" s="94"/>
      <c r="M122" s="94"/>
      <c r="N122" s="94"/>
      <c r="O122" s="94">
        <v>56</v>
      </c>
      <c r="P122" s="94"/>
      <c r="Q122" s="94"/>
      <c r="R122" s="94"/>
      <c r="S122" s="94"/>
      <c r="T122" s="94"/>
      <c r="U122" s="94"/>
      <c r="V122" s="94"/>
      <c r="W122" s="94"/>
      <c r="X122" s="94"/>
      <c r="Y122" s="94"/>
      <c r="Z122" s="94"/>
      <c r="AA122" s="96" t="str">
        <f t="shared" si="351"/>
        <v>REG</v>
      </c>
    </row>
    <row r="123" spans="1:27" ht="40" customHeight="1" x14ac:dyDescent="0.4">
      <c r="A123" s="96" t="str">
        <f>A124</f>
        <v>MAGIC 2</v>
      </c>
      <c r="B123" s="96">
        <f t="shared" ref="B123:C123" si="353">B124</f>
        <v>8</v>
      </c>
      <c r="C123" s="96">
        <f t="shared" si="353"/>
        <v>6</v>
      </c>
      <c r="D123" s="72" t="s">
        <v>51</v>
      </c>
      <c r="E123" s="73">
        <v>0</v>
      </c>
      <c r="F123" s="73">
        <v>1</v>
      </c>
      <c r="G123" s="73">
        <v>0</v>
      </c>
      <c r="H123" s="73">
        <v>0</v>
      </c>
      <c r="I123" s="73">
        <v>0</v>
      </c>
      <c r="J123" s="73">
        <v>1</v>
      </c>
      <c r="K123" s="73">
        <v>0</v>
      </c>
      <c r="L123" s="73">
        <v>0</v>
      </c>
      <c r="M123" s="73">
        <v>0</v>
      </c>
      <c r="N123" s="73">
        <v>1</v>
      </c>
      <c r="O123" s="73">
        <v>0</v>
      </c>
      <c r="P123" s="73">
        <v>1</v>
      </c>
      <c r="Q123" s="73">
        <v>1</v>
      </c>
      <c r="R123" s="73">
        <v>0</v>
      </c>
      <c r="S123" s="73">
        <v>1</v>
      </c>
      <c r="T123" s="73">
        <v>2</v>
      </c>
      <c r="U123" s="73">
        <v>0</v>
      </c>
      <c r="V123" s="74">
        <v>0</v>
      </c>
      <c r="W123" s="74">
        <v>0</v>
      </c>
      <c r="X123" s="74">
        <v>0</v>
      </c>
      <c r="Y123" s="74">
        <v>0</v>
      </c>
      <c r="Z123" s="75">
        <v>-0.7</v>
      </c>
      <c r="AA123" s="100" t="str">
        <f>AA124</f>
        <v>REG</v>
      </c>
    </row>
    <row r="124" spans="1:27" ht="40" customHeight="1" x14ac:dyDescent="0.4">
      <c r="A124" s="96" t="str">
        <f>A125</f>
        <v>MAGIC 2</v>
      </c>
      <c r="B124" s="96">
        <v>8</v>
      </c>
      <c r="C124" s="96">
        <f>C116+1</f>
        <v>6</v>
      </c>
      <c r="D124" s="72" t="s">
        <v>40</v>
      </c>
      <c r="E124" s="77">
        <v>13</v>
      </c>
      <c r="F124" s="77">
        <v>22</v>
      </c>
      <c r="G124" s="77">
        <v>0</v>
      </c>
      <c r="H124" s="77">
        <v>3</v>
      </c>
      <c r="I124" s="77">
        <v>13</v>
      </c>
      <c r="J124" s="77">
        <v>25</v>
      </c>
      <c r="K124" s="77">
        <v>2</v>
      </c>
      <c r="L124" s="77">
        <v>4</v>
      </c>
      <c r="M124" s="77">
        <v>4</v>
      </c>
      <c r="N124" s="77">
        <v>5</v>
      </c>
      <c r="O124" s="77">
        <v>28</v>
      </c>
      <c r="P124" s="77">
        <v>9</v>
      </c>
      <c r="Q124" s="77">
        <v>2</v>
      </c>
      <c r="R124" s="77">
        <v>0</v>
      </c>
      <c r="S124" s="77">
        <v>0</v>
      </c>
      <c r="T124" s="77">
        <v>2</v>
      </c>
      <c r="U124" s="77">
        <v>0</v>
      </c>
      <c r="V124" s="78">
        <v>0.52</v>
      </c>
      <c r="W124" s="78">
        <v>0.5</v>
      </c>
      <c r="X124" s="78">
        <v>0.59090909090909094</v>
      </c>
      <c r="Y124" s="78">
        <v>0</v>
      </c>
      <c r="Z124" s="79">
        <v>18.600000000000001</v>
      </c>
      <c r="AA124" s="98" t="s">
        <v>33</v>
      </c>
    </row>
    <row r="125" spans="1:27" ht="40" customHeight="1" x14ac:dyDescent="0.4">
      <c r="A125" s="96" t="str">
        <f>D130</f>
        <v>MAGIC 2</v>
      </c>
      <c r="B125" s="96">
        <v>8</v>
      </c>
      <c r="C125" s="96">
        <f t="shared" ref="C125:C130" si="354">C124</f>
        <v>6</v>
      </c>
      <c r="D125" s="72" t="s">
        <v>41</v>
      </c>
      <c r="E125" s="80">
        <v>5</v>
      </c>
      <c r="F125" s="80">
        <v>9</v>
      </c>
      <c r="G125" s="80">
        <v>0</v>
      </c>
      <c r="H125" s="80">
        <v>4</v>
      </c>
      <c r="I125" s="80">
        <v>5</v>
      </c>
      <c r="J125" s="80">
        <v>13</v>
      </c>
      <c r="K125" s="80">
        <v>0</v>
      </c>
      <c r="L125" s="80">
        <v>0</v>
      </c>
      <c r="M125" s="80">
        <v>0</v>
      </c>
      <c r="N125" s="80">
        <v>5</v>
      </c>
      <c r="O125" s="80">
        <v>10</v>
      </c>
      <c r="P125" s="80">
        <v>5</v>
      </c>
      <c r="Q125" s="80">
        <v>3</v>
      </c>
      <c r="R125" s="80">
        <v>0</v>
      </c>
      <c r="S125" s="80">
        <v>1</v>
      </c>
      <c r="T125" s="80">
        <v>0</v>
      </c>
      <c r="U125" s="80">
        <v>0</v>
      </c>
      <c r="V125" s="81">
        <v>0.38461538461538464</v>
      </c>
      <c r="W125" s="81">
        <v>0</v>
      </c>
      <c r="X125" s="81">
        <v>0.55555555555555558</v>
      </c>
      <c r="Y125" s="81">
        <v>0</v>
      </c>
      <c r="Z125" s="82">
        <v>7.5</v>
      </c>
      <c r="AA125" s="98" t="str">
        <f>AA124</f>
        <v>REG</v>
      </c>
    </row>
    <row r="126" spans="1:27" ht="40" customHeight="1" x14ac:dyDescent="0.4">
      <c r="A126" s="96" t="str">
        <f>A125</f>
        <v>MAGIC 2</v>
      </c>
      <c r="B126" s="96">
        <v>8</v>
      </c>
      <c r="C126" s="96">
        <f t="shared" si="354"/>
        <v>6</v>
      </c>
      <c r="D126" s="72" t="s">
        <v>42</v>
      </c>
      <c r="E126" s="83">
        <v>7</v>
      </c>
      <c r="F126" s="83">
        <v>12</v>
      </c>
      <c r="G126" s="83">
        <v>0</v>
      </c>
      <c r="H126" s="83">
        <v>6</v>
      </c>
      <c r="I126" s="83">
        <v>7</v>
      </c>
      <c r="J126" s="83">
        <v>18</v>
      </c>
      <c r="K126" s="83">
        <v>0</v>
      </c>
      <c r="L126" s="83">
        <v>0</v>
      </c>
      <c r="M126" s="83">
        <v>1</v>
      </c>
      <c r="N126" s="83">
        <v>5</v>
      </c>
      <c r="O126" s="83">
        <v>14</v>
      </c>
      <c r="P126" s="83">
        <v>6</v>
      </c>
      <c r="Q126" s="83">
        <v>3</v>
      </c>
      <c r="R126" s="83">
        <v>0</v>
      </c>
      <c r="S126" s="83">
        <v>1</v>
      </c>
      <c r="T126" s="83">
        <v>5</v>
      </c>
      <c r="U126" s="83">
        <v>0</v>
      </c>
      <c r="V126" s="84">
        <v>0.3888888888888889</v>
      </c>
      <c r="W126" s="84">
        <v>0</v>
      </c>
      <c r="X126" s="84">
        <v>0.58333333333333337</v>
      </c>
      <c r="Y126" s="84">
        <v>0</v>
      </c>
      <c r="Z126" s="85">
        <v>4.5</v>
      </c>
      <c r="AA126" s="98" t="str">
        <f t="shared" ref="AA126:AA130" si="355">AA125</f>
        <v>REG</v>
      </c>
    </row>
    <row r="127" spans="1:27" ht="40" customHeight="1" x14ac:dyDescent="0.4">
      <c r="A127" s="96" t="str">
        <f t="shared" ref="A127:A128" si="356">A126</f>
        <v>MAGIC 2</v>
      </c>
      <c r="B127" s="96">
        <v>8</v>
      </c>
      <c r="C127" s="96">
        <f t="shared" si="354"/>
        <v>6</v>
      </c>
      <c r="D127" s="72" t="s">
        <v>43</v>
      </c>
      <c r="E127" s="86">
        <v>1</v>
      </c>
      <c r="F127" s="86">
        <v>1</v>
      </c>
      <c r="G127" s="86">
        <v>0</v>
      </c>
      <c r="H127" s="86">
        <v>1</v>
      </c>
      <c r="I127" s="86">
        <v>1</v>
      </c>
      <c r="J127" s="86">
        <v>2</v>
      </c>
      <c r="K127" s="86">
        <v>0</v>
      </c>
      <c r="L127" s="86">
        <v>0</v>
      </c>
      <c r="M127" s="86">
        <v>0</v>
      </c>
      <c r="N127" s="86">
        <v>9</v>
      </c>
      <c r="O127" s="86">
        <v>2</v>
      </c>
      <c r="P127" s="86">
        <v>9</v>
      </c>
      <c r="Q127" s="86">
        <v>5</v>
      </c>
      <c r="R127" s="86">
        <v>5</v>
      </c>
      <c r="S127" s="86">
        <v>1</v>
      </c>
      <c r="T127" s="86">
        <v>2</v>
      </c>
      <c r="U127" s="86">
        <v>0</v>
      </c>
      <c r="V127" s="87">
        <v>0.5</v>
      </c>
      <c r="W127" s="87">
        <v>0</v>
      </c>
      <c r="X127" s="87">
        <v>1</v>
      </c>
      <c r="Y127" s="87">
        <v>0</v>
      </c>
      <c r="Z127" s="88">
        <v>9.6999999999999993</v>
      </c>
      <c r="AA127" s="98" t="str">
        <f t="shared" si="355"/>
        <v>REG</v>
      </c>
    </row>
    <row r="128" spans="1:27" ht="40" customHeight="1" x14ac:dyDescent="0.4">
      <c r="A128" s="96" t="str">
        <f t="shared" si="356"/>
        <v>MAGIC 2</v>
      </c>
      <c r="B128" s="96">
        <v>8</v>
      </c>
      <c r="C128" s="96">
        <f t="shared" si="354"/>
        <v>6</v>
      </c>
      <c r="D128" s="72" t="s">
        <v>44</v>
      </c>
      <c r="E128" s="89">
        <v>1</v>
      </c>
      <c r="F128" s="89">
        <v>1</v>
      </c>
      <c r="G128" s="89">
        <v>1</v>
      </c>
      <c r="H128" s="89">
        <v>1</v>
      </c>
      <c r="I128" s="89">
        <v>2</v>
      </c>
      <c r="J128" s="89">
        <v>2</v>
      </c>
      <c r="K128" s="89">
        <v>0</v>
      </c>
      <c r="L128" s="89">
        <v>0</v>
      </c>
      <c r="M128" s="89">
        <v>1</v>
      </c>
      <c r="N128" s="89">
        <v>1</v>
      </c>
      <c r="O128" s="89">
        <v>5</v>
      </c>
      <c r="P128" s="89">
        <v>2</v>
      </c>
      <c r="Q128" s="89">
        <v>2</v>
      </c>
      <c r="R128" s="89">
        <v>0</v>
      </c>
      <c r="S128" s="89">
        <v>0</v>
      </c>
      <c r="T128" s="89">
        <v>1</v>
      </c>
      <c r="U128" s="89">
        <v>0</v>
      </c>
      <c r="V128" s="90">
        <v>1</v>
      </c>
      <c r="W128" s="90">
        <v>0</v>
      </c>
      <c r="X128" s="90">
        <v>1</v>
      </c>
      <c r="Y128" s="90">
        <v>1</v>
      </c>
      <c r="Z128" s="91">
        <v>5.8000000000000007</v>
      </c>
      <c r="AA128" s="98" t="str">
        <f t="shared" si="355"/>
        <v>REG</v>
      </c>
    </row>
    <row r="129" spans="1:27" ht="40" customHeight="1" x14ac:dyDescent="0.4">
      <c r="A129" s="96" t="str">
        <f>A128</f>
        <v>MAGIC 2</v>
      </c>
      <c r="B129" s="96">
        <v>8</v>
      </c>
      <c r="C129" s="96">
        <f t="shared" si="354"/>
        <v>6</v>
      </c>
      <c r="D129" s="72" t="s">
        <v>31</v>
      </c>
      <c r="E129" s="76">
        <v>27</v>
      </c>
      <c r="F129" s="76">
        <v>46</v>
      </c>
      <c r="G129" s="76">
        <v>1</v>
      </c>
      <c r="H129" s="76">
        <v>15</v>
      </c>
      <c r="I129" s="76">
        <v>28</v>
      </c>
      <c r="J129" s="76">
        <v>61</v>
      </c>
      <c r="K129" s="76">
        <v>2</v>
      </c>
      <c r="L129" s="76">
        <v>4</v>
      </c>
      <c r="M129" s="76">
        <v>6</v>
      </c>
      <c r="N129" s="76">
        <v>26</v>
      </c>
      <c r="O129" s="76">
        <v>59</v>
      </c>
      <c r="P129" s="76">
        <v>32</v>
      </c>
      <c r="Q129" s="76">
        <v>16</v>
      </c>
      <c r="R129" s="76">
        <v>5</v>
      </c>
      <c r="S129" s="76">
        <v>4</v>
      </c>
      <c r="T129" s="76">
        <v>12</v>
      </c>
      <c r="U129" s="76">
        <v>0</v>
      </c>
      <c r="V129" s="92">
        <v>0.45901639344262296</v>
      </c>
      <c r="W129" s="92">
        <v>0.5</v>
      </c>
      <c r="X129" s="92">
        <v>0.58695652173913049</v>
      </c>
      <c r="Y129" s="92">
        <v>6.6666666666666666E-2</v>
      </c>
      <c r="Z129" s="93">
        <v>7.5666666666666673</v>
      </c>
      <c r="AA129" s="100" t="str">
        <f t="shared" si="355"/>
        <v>REG</v>
      </c>
    </row>
    <row r="130" spans="1:27" ht="40" customHeight="1" x14ac:dyDescent="0.4">
      <c r="A130" s="96" t="s">
        <v>38</v>
      </c>
      <c r="B130" s="96">
        <v>8</v>
      </c>
      <c r="C130" s="96">
        <f t="shared" si="354"/>
        <v>6</v>
      </c>
      <c r="D130" s="94" t="s">
        <v>22</v>
      </c>
      <c r="E130" s="94"/>
      <c r="F130" s="94"/>
      <c r="G130" s="94"/>
      <c r="H130" s="94"/>
      <c r="I130" s="94"/>
      <c r="J130" s="94"/>
      <c r="K130" s="94"/>
      <c r="L130" s="94"/>
      <c r="M130" s="94"/>
      <c r="N130" s="94"/>
      <c r="O130" s="94">
        <v>71</v>
      </c>
      <c r="P130" s="94"/>
      <c r="Q130" s="94"/>
      <c r="R130" s="94"/>
      <c r="S130" s="94"/>
      <c r="T130" s="94"/>
      <c r="U130" s="94"/>
      <c r="V130" s="94"/>
      <c r="W130" s="94"/>
      <c r="X130" s="94"/>
      <c r="Y130" s="94"/>
      <c r="Z130" s="94"/>
      <c r="AA130" s="96" t="str">
        <f t="shared" si="355"/>
        <v>REG</v>
      </c>
    </row>
    <row r="131" spans="1:27" ht="40" customHeight="1" x14ac:dyDescent="0.4">
      <c r="A131" s="96" t="str">
        <f>A132</f>
        <v>LIGHTNING 2</v>
      </c>
      <c r="B131" s="96">
        <v>8</v>
      </c>
      <c r="C131" s="96">
        <f>C124+1</f>
        <v>7</v>
      </c>
      <c r="D131" s="72" t="s">
        <v>40</v>
      </c>
      <c r="E131" s="77">
        <v>7</v>
      </c>
      <c r="F131" s="77">
        <v>17</v>
      </c>
      <c r="G131" s="77">
        <v>1</v>
      </c>
      <c r="H131" s="77">
        <v>3</v>
      </c>
      <c r="I131" s="77">
        <v>8</v>
      </c>
      <c r="J131" s="77">
        <v>20</v>
      </c>
      <c r="K131" s="77">
        <v>1</v>
      </c>
      <c r="L131" s="77">
        <v>3</v>
      </c>
      <c r="M131" s="77">
        <v>2</v>
      </c>
      <c r="N131" s="77">
        <v>8</v>
      </c>
      <c r="O131" s="77">
        <v>18</v>
      </c>
      <c r="P131" s="77">
        <v>10</v>
      </c>
      <c r="Q131" s="77">
        <v>4</v>
      </c>
      <c r="R131" s="77">
        <v>0</v>
      </c>
      <c r="S131" s="77">
        <v>0</v>
      </c>
      <c r="T131" s="77">
        <v>0</v>
      </c>
      <c r="U131" s="77">
        <v>0</v>
      </c>
      <c r="V131" s="78">
        <v>0.4</v>
      </c>
      <c r="W131" s="78">
        <v>0.33333333333333331</v>
      </c>
      <c r="X131" s="78">
        <v>0.41176470588235292</v>
      </c>
      <c r="Y131" s="78">
        <v>0.33333333333333331</v>
      </c>
      <c r="Z131" s="79">
        <v>13</v>
      </c>
      <c r="AA131" s="98" t="s">
        <v>33</v>
      </c>
    </row>
    <row r="132" spans="1:27" ht="40" customHeight="1" x14ac:dyDescent="0.4">
      <c r="A132" s="96" t="str">
        <f>D137</f>
        <v>LIGHTNING 2</v>
      </c>
      <c r="B132" s="96">
        <v>8</v>
      </c>
      <c r="C132" s="96">
        <f t="shared" ref="C132:C137" si="357">C131</f>
        <v>7</v>
      </c>
      <c r="D132" s="72" t="s">
        <v>50</v>
      </c>
      <c r="E132" s="73">
        <v>3</v>
      </c>
      <c r="F132" s="73">
        <v>7</v>
      </c>
      <c r="G132" s="73">
        <v>2</v>
      </c>
      <c r="H132" s="73">
        <v>4</v>
      </c>
      <c r="I132" s="73">
        <v>5</v>
      </c>
      <c r="J132" s="73">
        <v>11</v>
      </c>
      <c r="K132" s="73">
        <v>0</v>
      </c>
      <c r="L132" s="73">
        <v>0</v>
      </c>
      <c r="M132" s="73">
        <v>0</v>
      </c>
      <c r="N132" s="73">
        <v>2</v>
      </c>
      <c r="O132" s="73">
        <v>12</v>
      </c>
      <c r="P132" s="73">
        <v>2</v>
      </c>
      <c r="Q132" s="73">
        <v>2</v>
      </c>
      <c r="R132" s="73">
        <v>0</v>
      </c>
      <c r="S132" s="73">
        <v>2</v>
      </c>
      <c r="T132" s="73">
        <v>4</v>
      </c>
      <c r="U132" s="73">
        <v>2</v>
      </c>
      <c r="V132" s="74">
        <v>0.45454545454545453</v>
      </c>
      <c r="W132" s="74">
        <v>0</v>
      </c>
      <c r="X132" s="74">
        <v>0.42857142857142855</v>
      </c>
      <c r="Y132" s="74">
        <v>0.5</v>
      </c>
      <c r="Z132" s="75">
        <v>5.5</v>
      </c>
      <c r="AA132" s="98" t="str">
        <f>AA131</f>
        <v>REG</v>
      </c>
    </row>
    <row r="133" spans="1:27" ht="40" customHeight="1" x14ac:dyDescent="0.4">
      <c r="A133" s="96" t="str">
        <f>A132</f>
        <v>LIGHTNING 2</v>
      </c>
      <c r="B133" s="96">
        <v>8</v>
      </c>
      <c r="C133" s="96">
        <f t="shared" si="357"/>
        <v>7</v>
      </c>
      <c r="D133" s="72" t="s">
        <v>42</v>
      </c>
      <c r="E133" s="83">
        <v>8</v>
      </c>
      <c r="F133" s="83">
        <v>13</v>
      </c>
      <c r="G133" s="83">
        <v>1</v>
      </c>
      <c r="H133" s="83">
        <v>6</v>
      </c>
      <c r="I133" s="83">
        <v>9</v>
      </c>
      <c r="J133" s="83">
        <v>19</v>
      </c>
      <c r="K133" s="83">
        <v>2</v>
      </c>
      <c r="L133" s="83">
        <v>4</v>
      </c>
      <c r="M133" s="83">
        <v>1</v>
      </c>
      <c r="N133" s="83">
        <v>2</v>
      </c>
      <c r="O133" s="83">
        <v>21</v>
      </c>
      <c r="P133" s="83">
        <v>3</v>
      </c>
      <c r="Q133" s="83">
        <v>5</v>
      </c>
      <c r="R133" s="83">
        <v>0</v>
      </c>
      <c r="S133" s="83">
        <v>1</v>
      </c>
      <c r="T133" s="83">
        <v>1</v>
      </c>
      <c r="U133" s="83">
        <v>1</v>
      </c>
      <c r="V133" s="84">
        <v>0.47368421052631576</v>
      </c>
      <c r="W133" s="84">
        <v>0.5</v>
      </c>
      <c r="X133" s="84">
        <v>0.61538461538461542</v>
      </c>
      <c r="Y133" s="84">
        <v>0.16666666666666666</v>
      </c>
      <c r="Z133" s="85">
        <v>14.9</v>
      </c>
      <c r="AA133" s="98" t="str">
        <f t="shared" ref="AA133:AA137" si="358">AA132</f>
        <v>REG</v>
      </c>
    </row>
    <row r="134" spans="1:27" ht="40" customHeight="1" x14ac:dyDescent="0.4">
      <c r="A134" s="96" t="str">
        <f t="shared" ref="A134:A135" si="359">A133</f>
        <v>LIGHTNING 2</v>
      </c>
      <c r="B134" s="96">
        <v>8</v>
      </c>
      <c r="C134" s="96">
        <f t="shared" si="357"/>
        <v>7</v>
      </c>
      <c r="D134" s="72" t="s">
        <v>43</v>
      </c>
      <c r="E134" s="86">
        <v>4</v>
      </c>
      <c r="F134" s="86">
        <v>7</v>
      </c>
      <c r="G134" s="86">
        <v>0</v>
      </c>
      <c r="H134" s="86">
        <v>1</v>
      </c>
      <c r="I134" s="86">
        <v>4</v>
      </c>
      <c r="J134" s="86">
        <v>8</v>
      </c>
      <c r="K134" s="86">
        <v>0</v>
      </c>
      <c r="L134" s="86">
        <v>0</v>
      </c>
      <c r="M134" s="86">
        <v>0</v>
      </c>
      <c r="N134" s="86">
        <v>14</v>
      </c>
      <c r="O134" s="86">
        <v>8</v>
      </c>
      <c r="P134" s="86">
        <v>14</v>
      </c>
      <c r="Q134" s="86">
        <v>5</v>
      </c>
      <c r="R134" s="86">
        <v>0</v>
      </c>
      <c r="S134" s="86">
        <v>0</v>
      </c>
      <c r="T134" s="86">
        <v>0</v>
      </c>
      <c r="U134" s="86">
        <v>1</v>
      </c>
      <c r="V134" s="87">
        <v>0.5</v>
      </c>
      <c r="W134" s="87">
        <v>0</v>
      </c>
      <c r="X134" s="87">
        <v>0.5714285714285714</v>
      </c>
      <c r="Y134" s="87">
        <v>0</v>
      </c>
      <c r="Z134" s="88">
        <v>11.299999999999999</v>
      </c>
      <c r="AA134" s="98" t="str">
        <f t="shared" si="358"/>
        <v>REG</v>
      </c>
    </row>
    <row r="135" spans="1:27" ht="40" customHeight="1" x14ac:dyDescent="0.4">
      <c r="A135" s="96" t="str">
        <f t="shared" si="359"/>
        <v>LIGHTNING 2</v>
      </c>
      <c r="B135" s="96">
        <v>8</v>
      </c>
      <c r="C135" s="96">
        <f t="shared" si="357"/>
        <v>7</v>
      </c>
      <c r="D135" s="72" t="s">
        <v>44</v>
      </c>
      <c r="E135" s="89">
        <v>1</v>
      </c>
      <c r="F135" s="89">
        <v>1</v>
      </c>
      <c r="G135" s="89">
        <v>0</v>
      </c>
      <c r="H135" s="89">
        <v>0</v>
      </c>
      <c r="I135" s="89">
        <v>1</v>
      </c>
      <c r="J135" s="89">
        <v>1</v>
      </c>
      <c r="K135" s="89">
        <v>0</v>
      </c>
      <c r="L135" s="89">
        <v>0</v>
      </c>
      <c r="M135" s="89">
        <v>2</v>
      </c>
      <c r="N135" s="89">
        <v>3</v>
      </c>
      <c r="O135" s="89">
        <v>2</v>
      </c>
      <c r="P135" s="89">
        <v>5</v>
      </c>
      <c r="Q135" s="89">
        <v>2</v>
      </c>
      <c r="R135" s="89">
        <v>0</v>
      </c>
      <c r="S135" s="89">
        <v>0</v>
      </c>
      <c r="T135" s="89">
        <v>2</v>
      </c>
      <c r="U135" s="89">
        <v>0</v>
      </c>
      <c r="V135" s="90">
        <v>1</v>
      </c>
      <c r="W135" s="90">
        <v>0</v>
      </c>
      <c r="X135" s="90">
        <v>1</v>
      </c>
      <c r="Y135" s="90">
        <v>0</v>
      </c>
      <c r="Z135" s="91">
        <v>3.3999999999999995</v>
      </c>
      <c r="AA135" s="98" t="str">
        <f t="shared" si="358"/>
        <v>REG</v>
      </c>
    </row>
    <row r="136" spans="1:27" ht="40" customHeight="1" x14ac:dyDescent="0.4">
      <c r="A136" s="96" t="str">
        <f>A135</f>
        <v>LIGHTNING 2</v>
      </c>
      <c r="B136" s="96">
        <v>8</v>
      </c>
      <c r="C136" s="96">
        <f t="shared" si="357"/>
        <v>7</v>
      </c>
      <c r="D136" s="72" t="s">
        <v>31</v>
      </c>
      <c r="E136" s="76">
        <v>23</v>
      </c>
      <c r="F136" s="76">
        <v>45</v>
      </c>
      <c r="G136" s="76">
        <v>4</v>
      </c>
      <c r="H136" s="76">
        <v>14</v>
      </c>
      <c r="I136" s="76">
        <v>27</v>
      </c>
      <c r="J136" s="76">
        <v>59</v>
      </c>
      <c r="K136" s="76">
        <v>3</v>
      </c>
      <c r="L136" s="76">
        <v>7</v>
      </c>
      <c r="M136" s="76">
        <v>5</v>
      </c>
      <c r="N136" s="76">
        <v>29</v>
      </c>
      <c r="O136" s="76">
        <v>61</v>
      </c>
      <c r="P136" s="76">
        <v>34</v>
      </c>
      <c r="Q136" s="76">
        <v>18</v>
      </c>
      <c r="R136" s="76">
        <v>0</v>
      </c>
      <c r="S136" s="76">
        <v>3</v>
      </c>
      <c r="T136" s="76">
        <v>7</v>
      </c>
      <c r="U136" s="76">
        <v>4</v>
      </c>
      <c r="V136" s="92">
        <v>0.4576271186440678</v>
      </c>
      <c r="W136" s="92">
        <v>0.42857142857142855</v>
      </c>
      <c r="X136" s="92">
        <v>0.51111111111111107</v>
      </c>
      <c r="Y136" s="92">
        <v>0.2857142857142857</v>
      </c>
      <c r="Z136" s="93">
        <v>9.6199999999999992</v>
      </c>
      <c r="AA136" s="100" t="str">
        <f t="shared" si="358"/>
        <v>REG</v>
      </c>
    </row>
    <row r="137" spans="1:27" ht="40" customHeight="1" x14ac:dyDescent="0.4">
      <c r="A137" s="96" t="s">
        <v>38</v>
      </c>
      <c r="B137" s="96">
        <v>8</v>
      </c>
      <c r="C137" s="96">
        <f t="shared" si="357"/>
        <v>7</v>
      </c>
      <c r="D137" s="94" t="s">
        <v>36</v>
      </c>
      <c r="E137" s="94"/>
      <c r="F137" s="94"/>
      <c r="G137" s="94"/>
      <c r="H137" s="94"/>
      <c r="I137" s="94"/>
      <c r="J137" s="94"/>
      <c r="K137" s="94"/>
      <c r="L137" s="94"/>
      <c r="M137" s="94"/>
      <c r="N137" s="94"/>
      <c r="O137" s="94">
        <v>72</v>
      </c>
      <c r="P137" s="94"/>
      <c r="Q137" s="94"/>
      <c r="R137" s="94"/>
      <c r="S137" s="94"/>
      <c r="T137" s="94"/>
      <c r="U137" s="94"/>
      <c r="V137" s="94"/>
      <c r="W137" s="94"/>
      <c r="X137" s="94"/>
      <c r="Y137" s="94"/>
      <c r="Z137" s="94"/>
      <c r="AA137" s="96" t="str">
        <f t="shared" si="358"/>
        <v>REG</v>
      </c>
    </row>
    <row r="138" spans="1:27" ht="40" customHeight="1" x14ac:dyDescent="0.4">
      <c r="A138" s="96" t="str">
        <f>A139</f>
        <v>LIGHTNING 3</v>
      </c>
      <c r="B138" s="96">
        <v>8</v>
      </c>
      <c r="C138" s="96">
        <v>9</v>
      </c>
      <c r="D138" s="72" t="s">
        <v>40</v>
      </c>
      <c r="E138" s="77">
        <v>6</v>
      </c>
      <c r="F138" s="77">
        <v>13</v>
      </c>
      <c r="G138" s="77">
        <v>0</v>
      </c>
      <c r="H138" s="77">
        <v>2</v>
      </c>
      <c r="I138" s="77">
        <v>6</v>
      </c>
      <c r="J138" s="77">
        <v>15</v>
      </c>
      <c r="K138" s="77">
        <v>3</v>
      </c>
      <c r="L138" s="77">
        <v>11</v>
      </c>
      <c r="M138" s="77">
        <v>3</v>
      </c>
      <c r="N138" s="77">
        <v>7</v>
      </c>
      <c r="O138" s="77">
        <v>15</v>
      </c>
      <c r="P138" s="77">
        <v>10</v>
      </c>
      <c r="Q138" s="77">
        <v>4</v>
      </c>
      <c r="R138" s="77">
        <v>1</v>
      </c>
      <c r="S138" s="77">
        <v>2</v>
      </c>
      <c r="T138" s="77">
        <v>4</v>
      </c>
      <c r="U138" s="77">
        <v>0</v>
      </c>
      <c r="V138" s="78">
        <v>0.4</v>
      </c>
      <c r="W138" s="78">
        <v>0.27272727272727271</v>
      </c>
      <c r="X138" s="78">
        <v>0.46153846153846156</v>
      </c>
      <c r="Y138" s="78">
        <v>0</v>
      </c>
      <c r="Z138" s="79">
        <v>9.3999999999999986</v>
      </c>
      <c r="AA138" s="98" t="s">
        <v>33</v>
      </c>
    </row>
    <row r="139" spans="1:27" ht="40" customHeight="1" x14ac:dyDescent="0.4">
      <c r="A139" s="96" t="str">
        <f>D144</f>
        <v>LIGHTNING 3</v>
      </c>
      <c r="B139" s="96">
        <v>8</v>
      </c>
      <c r="C139" s="96">
        <f t="shared" ref="C139:C144" si="360">C138</f>
        <v>9</v>
      </c>
      <c r="D139" s="72" t="s">
        <v>57</v>
      </c>
      <c r="E139" s="73">
        <v>0</v>
      </c>
      <c r="F139" s="73">
        <v>3</v>
      </c>
      <c r="G139" s="73">
        <v>0</v>
      </c>
      <c r="H139" s="73">
        <v>4</v>
      </c>
      <c r="I139" s="73">
        <v>0</v>
      </c>
      <c r="J139" s="73">
        <v>7</v>
      </c>
      <c r="K139" s="73">
        <v>0</v>
      </c>
      <c r="L139" s="73">
        <v>0</v>
      </c>
      <c r="M139" s="73">
        <v>1</v>
      </c>
      <c r="N139" s="73">
        <v>3</v>
      </c>
      <c r="O139" s="73">
        <v>0</v>
      </c>
      <c r="P139" s="73">
        <v>4</v>
      </c>
      <c r="Q139" s="73">
        <v>3</v>
      </c>
      <c r="R139" s="73">
        <v>0</v>
      </c>
      <c r="S139" s="73">
        <v>0</v>
      </c>
      <c r="T139" s="73">
        <v>2</v>
      </c>
      <c r="U139" s="73">
        <v>1</v>
      </c>
      <c r="V139" s="74">
        <v>0</v>
      </c>
      <c r="W139" s="74">
        <v>0</v>
      </c>
      <c r="X139" s="74">
        <v>0</v>
      </c>
      <c r="Y139" s="74">
        <v>0</v>
      </c>
      <c r="Z139" s="75">
        <v>-3.5999999999999996</v>
      </c>
      <c r="AA139" s="98" t="str">
        <f>AA138</f>
        <v>REG</v>
      </c>
    </row>
    <row r="140" spans="1:27" ht="40" customHeight="1" x14ac:dyDescent="0.4">
      <c r="A140" s="96" t="str">
        <f>A139</f>
        <v>LIGHTNING 3</v>
      </c>
      <c r="B140" s="96">
        <v>8</v>
      </c>
      <c r="C140" s="96">
        <f t="shared" si="360"/>
        <v>9</v>
      </c>
      <c r="D140" s="72" t="s">
        <v>42</v>
      </c>
      <c r="E140" s="83">
        <v>8</v>
      </c>
      <c r="F140" s="83">
        <v>12</v>
      </c>
      <c r="G140" s="83">
        <v>2</v>
      </c>
      <c r="H140" s="83">
        <v>8</v>
      </c>
      <c r="I140" s="83">
        <v>10</v>
      </c>
      <c r="J140" s="83">
        <v>20</v>
      </c>
      <c r="K140" s="83">
        <v>3</v>
      </c>
      <c r="L140" s="83">
        <v>4</v>
      </c>
      <c r="M140" s="83">
        <v>4</v>
      </c>
      <c r="N140" s="83">
        <v>5</v>
      </c>
      <c r="O140" s="83">
        <v>25</v>
      </c>
      <c r="P140" s="83">
        <v>9</v>
      </c>
      <c r="Q140" s="83">
        <v>3</v>
      </c>
      <c r="R140" s="83">
        <v>0</v>
      </c>
      <c r="S140" s="83">
        <v>2</v>
      </c>
      <c r="T140" s="83">
        <v>7</v>
      </c>
      <c r="U140" s="83">
        <v>4</v>
      </c>
      <c r="V140" s="84">
        <v>0.5</v>
      </c>
      <c r="W140" s="84">
        <v>0.75</v>
      </c>
      <c r="X140" s="84">
        <v>0.66666666666666663</v>
      </c>
      <c r="Y140" s="84">
        <v>0.25</v>
      </c>
      <c r="Z140" s="85">
        <v>14.399999999999999</v>
      </c>
      <c r="AA140" s="98" t="str">
        <f t="shared" ref="AA140:AA144" si="361">AA139</f>
        <v>REG</v>
      </c>
    </row>
    <row r="141" spans="1:27" ht="40" customHeight="1" x14ac:dyDescent="0.4">
      <c r="A141" s="96" t="str">
        <f t="shared" ref="A141:A142" si="362">A140</f>
        <v>LIGHTNING 3</v>
      </c>
      <c r="B141" s="96">
        <v>8</v>
      </c>
      <c r="C141" s="96">
        <f t="shared" si="360"/>
        <v>9</v>
      </c>
      <c r="D141" s="72" t="s">
        <v>43</v>
      </c>
      <c r="E141" s="86">
        <v>3</v>
      </c>
      <c r="F141" s="86">
        <v>4</v>
      </c>
      <c r="G141" s="86">
        <v>0</v>
      </c>
      <c r="H141" s="86">
        <v>1</v>
      </c>
      <c r="I141" s="86">
        <v>3</v>
      </c>
      <c r="J141" s="86">
        <v>5</v>
      </c>
      <c r="K141" s="86">
        <v>0</v>
      </c>
      <c r="L141" s="86">
        <v>0</v>
      </c>
      <c r="M141" s="86">
        <v>0</v>
      </c>
      <c r="N141" s="86">
        <v>6</v>
      </c>
      <c r="O141" s="86">
        <v>6</v>
      </c>
      <c r="P141" s="86">
        <v>6</v>
      </c>
      <c r="Q141" s="86">
        <v>2</v>
      </c>
      <c r="R141" s="86">
        <v>6</v>
      </c>
      <c r="S141" s="86">
        <v>3</v>
      </c>
      <c r="T141" s="86">
        <v>4</v>
      </c>
      <c r="U141" s="86">
        <v>2</v>
      </c>
      <c r="V141" s="87">
        <v>0.6</v>
      </c>
      <c r="W141" s="87">
        <v>0</v>
      </c>
      <c r="X141" s="87">
        <v>0.75</v>
      </c>
      <c r="Y141" s="87">
        <v>0</v>
      </c>
      <c r="Z141" s="88">
        <v>9.2999999999999989</v>
      </c>
      <c r="AA141" s="98" t="str">
        <f t="shared" si="361"/>
        <v>REG</v>
      </c>
    </row>
    <row r="142" spans="1:27" ht="40" customHeight="1" x14ac:dyDescent="0.4">
      <c r="A142" s="96" t="str">
        <f t="shared" si="362"/>
        <v>LIGHTNING 3</v>
      </c>
      <c r="B142" s="96">
        <v>8</v>
      </c>
      <c r="C142" s="96">
        <f t="shared" si="360"/>
        <v>9</v>
      </c>
      <c r="D142" s="72" t="s">
        <v>44</v>
      </c>
      <c r="E142" s="89">
        <v>2</v>
      </c>
      <c r="F142" s="89">
        <v>5</v>
      </c>
      <c r="G142" s="89">
        <v>1</v>
      </c>
      <c r="H142" s="89">
        <v>1</v>
      </c>
      <c r="I142" s="89">
        <v>3</v>
      </c>
      <c r="J142" s="89">
        <v>6</v>
      </c>
      <c r="K142" s="89">
        <v>0</v>
      </c>
      <c r="L142" s="89">
        <v>0</v>
      </c>
      <c r="M142" s="89">
        <v>3</v>
      </c>
      <c r="N142" s="89">
        <v>11</v>
      </c>
      <c r="O142" s="89">
        <v>7</v>
      </c>
      <c r="P142" s="89">
        <v>14</v>
      </c>
      <c r="Q142" s="89">
        <v>4</v>
      </c>
      <c r="R142" s="89">
        <v>0</v>
      </c>
      <c r="S142" s="89">
        <v>0</v>
      </c>
      <c r="T142" s="89">
        <v>3</v>
      </c>
      <c r="U142" s="89">
        <v>2</v>
      </c>
      <c r="V142" s="90">
        <v>0.5</v>
      </c>
      <c r="W142" s="90">
        <v>0</v>
      </c>
      <c r="X142" s="90">
        <v>0.4</v>
      </c>
      <c r="Y142" s="90">
        <v>1</v>
      </c>
      <c r="Z142" s="91">
        <v>8.3999999999999986</v>
      </c>
      <c r="AA142" s="98" t="str">
        <f t="shared" si="361"/>
        <v>REG</v>
      </c>
    </row>
    <row r="143" spans="1:27" ht="40" customHeight="1" x14ac:dyDescent="0.4">
      <c r="A143" s="96" t="str">
        <f>A142</f>
        <v>LIGHTNING 3</v>
      </c>
      <c r="B143" s="96">
        <v>8</v>
      </c>
      <c r="C143" s="96">
        <f t="shared" si="360"/>
        <v>9</v>
      </c>
      <c r="D143" s="72" t="s">
        <v>31</v>
      </c>
      <c r="E143" s="76">
        <v>19</v>
      </c>
      <c r="F143" s="76">
        <v>37</v>
      </c>
      <c r="G143" s="76">
        <v>3</v>
      </c>
      <c r="H143" s="76">
        <v>16</v>
      </c>
      <c r="I143" s="76">
        <v>22</v>
      </c>
      <c r="J143" s="76">
        <v>53</v>
      </c>
      <c r="K143" s="76">
        <v>6</v>
      </c>
      <c r="L143" s="76">
        <v>15</v>
      </c>
      <c r="M143" s="76">
        <v>11</v>
      </c>
      <c r="N143" s="76">
        <v>32</v>
      </c>
      <c r="O143" s="76">
        <v>53</v>
      </c>
      <c r="P143" s="76">
        <v>43</v>
      </c>
      <c r="Q143" s="76">
        <v>16</v>
      </c>
      <c r="R143" s="76">
        <v>7</v>
      </c>
      <c r="S143" s="76">
        <v>7</v>
      </c>
      <c r="T143" s="76">
        <v>20</v>
      </c>
      <c r="U143" s="76">
        <v>9</v>
      </c>
      <c r="V143" s="92">
        <v>0.41509433962264153</v>
      </c>
      <c r="W143" s="92">
        <v>0.4</v>
      </c>
      <c r="X143" s="92">
        <v>0.51351351351351349</v>
      </c>
      <c r="Y143" s="92">
        <v>0.1875</v>
      </c>
      <c r="Z143" s="93">
        <v>7.5799999999999983</v>
      </c>
      <c r="AA143" s="100" t="str">
        <f t="shared" si="361"/>
        <v>REG</v>
      </c>
    </row>
    <row r="144" spans="1:27" ht="40" customHeight="1" x14ac:dyDescent="0.4">
      <c r="A144" s="96" t="s">
        <v>38</v>
      </c>
      <c r="B144" s="96">
        <v>8</v>
      </c>
      <c r="C144" s="96">
        <f t="shared" si="360"/>
        <v>9</v>
      </c>
      <c r="D144" s="94" t="s">
        <v>27</v>
      </c>
      <c r="E144" s="94"/>
      <c r="F144" s="94"/>
      <c r="G144" s="94"/>
      <c r="H144" s="94"/>
      <c r="I144" s="94"/>
      <c r="J144" s="94"/>
      <c r="K144" s="94"/>
      <c r="L144" s="94"/>
      <c r="M144" s="94"/>
      <c r="N144" s="94"/>
      <c r="O144" s="94">
        <v>48</v>
      </c>
      <c r="P144" s="94"/>
      <c r="Q144" s="94"/>
      <c r="R144" s="94"/>
      <c r="S144" s="94"/>
      <c r="T144" s="94"/>
      <c r="U144" s="94"/>
      <c r="V144" s="94"/>
      <c r="W144" s="94"/>
      <c r="X144" s="94"/>
      <c r="Y144" s="94"/>
      <c r="Z144" s="94"/>
      <c r="AA144" s="96" t="str">
        <f t="shared" si="361"/>
        <v>REG</v>
      </c>
    </row>
    <row r="145" spans="1:27" ht="40" customHeight="1" x14ac:dyDescent="0.4">
      <c r="A145" s="96" t="str">
        <f>A146</f>
        <v>PANTHERS 2</v>
      </c>
      <c r="B145" s="96">
        <v>8</v>
      </c>
      <c r="C145" s="96">
        <v>9</v>
      </c>
      <c r="D145" s="72" t="s">
        <v>40</v>
      </c>
      <c r="E145" s="77">
        <v>8</v>
      </c>
      <c r="F145" s="77">
        <v>14</v>
      </c>
      <c r="G145" s="77">
        <v>2</v>
      </c>
      <c r="H145" s="77">
        <v>5</v>
      </c>
      <c r="I145" s="77">
        <v>10</v>
      </c>
      <c r="J145" s="77">
        <v>19</v>
      </c>
      <c r="K145" s="77">
        <v>0</v>
      </c>
      <c r="L145" s="77">
        <v>0</v>
      </c>
      <c r="M145" s="77">
        <v>3</v>
      </c>
      <c r="N145" s="77">
        <v>10</v>
      </c>
      <c r="O145" s="77">
        <v>22</v>
      </c>
      <c r="P145" s="77">
        <v>13</v>
      </c>
      <c r="Q145" s="77">
        <v>7</v>
      </c>
      <c r="R145" s="77">
        <v>0</v>
      </c>
      <c r="S145" s="77">
        <v>2</v>
      </c>
      <c r="T145" s="77">
        <v>1</v>
      </c>
      <c r="U145" s="77">
        <v>0</v>
      </c>
      <c r="V145" s="78">
        <v>0.52631578947368418</v>
      </c>
      <c r="W145" s="78">
        <v>0</v>
      </c>
      <c r="X145" s="78">
        <v>0.5714285714285714</v>
      </c>
      <c r="Y145" s="78">
        <v>0.4</v>
      </c>
      <c r="Z145" s="79">
        <v>23.7</v>
      </c>
      <c r="AA145" s="98" t="s">
        <v>33</v>
      </c>
    </row>
    <row r="146" spans="1:27" ht="40" customHeight="1" x14ac:dyDescent="0.4">
      <c r="A146" s="96" t="str">
        <f>D151</f>
        <v>PANTHERS 2</v>
      </c>
      <c r="B146" s="96">
        <v>8</v>
      </c>
      <c r="C146" s="96">
        <f t="shared" ref="C146:C151" si="363">C145</f>
        <v>9</v>
      </c>
      <c r="D146" s="72" t="s">
        <v>58</v>
      </c>
      <c r="E146" s="73">
        <v>0</v>
      </c>
      <c r="F146" s="73">
        <v>1</v>
      </c>
      <c r="G146" s="73">
        <v>1</v>
      </c>
      <c r="H146" s="73">
        <v>3</v>
      </c>
      <c r="I146" s="73">
        <v>1</v>
      </c>
      <c r="J146" s="73">
        <v>4</v>
      </c>
      <c r="K146" s="73">
        <v>1</v>
      </c>
      <c r="L146" s="73">
        <v>2</v>
      </c>
      <c r="M146" s="73">
        <v>1</v>
      </c>
      <c r="N146" s="73">
        <v>4</v>
      </c>
      <c r="O146" s="73">
        <v>4</v>
      </c>
      <c r="P146" s="73">
        <v>5</v>
      </c>
      <c r="Q146" s="73">
        <v>4</v>
      </c>
      <c r="R146" s="73">
        <v>0</v>
      </c>
      <c r="S146" s="73">
        <v>3</v>
      </c>
      <c r="T146" s="73">
        <v>3</v>
      </c>
      <c r="U146" s="73">
        <v>0</v>
      </c>
      <c r="V146" s="74">
        <v>0.25</v>
      </c>
      <c r="W146" s="74">
        <v>0.5</v>
      </c>
      <c r="X146" s="74">
        <v>0</v>
      </c>
      <c r="Y146" s="74">
        <v>0.33333333333333331</v>
      </c>
      <c r="Z146" s="75">
        <v>5.9</v>
      </c>
      <c r="AA146" s="98" t="str">
        <f>AA145</f>
        <v>REG</v>
      </c>
    </row>
    <row r="147" spans="1:27" ht="40" customHeight="1" x14ac:dyDescent="0.4">
      <c r="A147" s="96" t="str">
        <f>A146</f>
        <v>PANTHERS 2</v>
      </c>
      <c r="B147" s="96">
        <v>8</v>
      </c>
      <c r="C147" s="96">
        <f t="shared" si="363"/>
        <v>9</v>
      </c>
      <c r="D147" s="72" t="s">
        <v>42</v>
      </c>
      <c r="E147" s="83">
        <v>7</v>
      </c>
      <c r="F147" s="83">
        <v>12</v>
      </c>
      <c r="G147" s="83">
        <v>5</v>
      </c>
      <c r="H147" s="83">
        <v>15</v>
      </c>
      <c r="I147" s="83">
        <v>12</v>
      </c>
      <c r="J147" s="83">
        <v>27</v>
      </c>
      <c r="K147" s="83">
        <v>4</v>
      </c>
      <c r="L147" s="83">
        <v>6</v>
      </c>
      <c r="M147" s="83">
        <v>2</v>
      </c>
      <c r="N147" s="83">
        <v>3</v>
      </c>
      <c r="O147" s="83">
        <v>33</v>
      </c>
      <c r="P147" s="83">
        <v>5</v>
      </c>
      <c r="Q147" s="83">
        <v>5</v>
      </c>
      <c r="R147" s="83">
        <v>0</v>
      </c>
      <c r="S147" s="83">
        <v>2</v>
      </c>
      <c r="T147" s="83">
        <v>4</v>
      </c>
      <c r="U147" s="83">
        <v>0</v>
      </c>
      <c r="V147" s="84">
        <v>0.44444444444444442</v>
      </c>
      <c r="W147" s="84">
        <v>0.66666666666666663</v>
      </c>
      <c r="X147" s="84">
        <v>0.58333333333333337</v>
      </c>
      <c r="Y147" s="84">
        <v>0.33333333333333331</v>
      </c>
      <c r="Z147" s="85">
        <v>21.899999999999995</v>
      </c>
      <c r="AA147" s="98" t="str">
        <f t="shared" ref="AA147:AA151" si="364">AA146</f>
        <v>REG</v>
      </c>
    </row>
    <row r="148" spans="1:27" ht="40" customHeight="1" x14ac:dyDescent="0.4">
      <c r="A148" s="96" t="str">
        <f t="shared" ref="A148:A149" si="365">A147</f>
        <v>PANTHERS 2</v>
      </c>
      <c r="B148" s="96">
        <v>8</v>
      </c>
      <c r="C148" s="96">
        <f t="shared" si="363"/>
        <v>9</v>
      </c>
      <c r="D148" s="72" t="s">
        <v>43</v>
      </c>
      <c r="E148" s="86">
        <v>6</v>
      </c>
      <c r="F148" s="86">
        <v>12</v>
      </c>
      <c r="G148" s="86">
        <v>0</v>
      </c>
      <c r="H148" s="86">
        <v>1</v>
      </c>
      <c r="I148" s="86">
        <v>6</v>
      </c>
      <c r="J148" s="86">
        <v>13</v>
      </c>
      <c r="K148" s="86">
        <v>0</v>
      </c>
      <c r="L148" s="86">
        <v>0</v>
      </c>
      <c r="M148" s="86">
        <v>2</v>
      </c>
      <c r="N148" s="86">
        <v>11</v>
      </c>
      <c r="O148" s="86">
        <v>12</v>
      </c>
      <c r="P148" s="86">
        <v>13</v>
      </c>
      <c r="Q148" s="86">
        <v>3</v>
      </c>
      <c r="R148" s="86">
        <v>4</v>
      </c>
      <c r="S148" s="86">
        <v>1</v>
      </c>
      <c r="T148" s="86">
        <v>3</v>
      </c>
      <c r="U148" s="86">
        <v>0</v>
      </c>
      <c r="V148" s="87">
        <v>0.46153846153846156</v>
      </c>
      <c r="W148" s="87">
        <v>0</v>
      </c>
      <c r="X148" s="87">
        <v>0.5</v>
      </c>
      <c r="Y148" s="87">
        <v>0</v>
      </c>
      <c r="Z148" s="88">
        <v>12.899999999999999</v>
      </c>
      <c r="AA148" s="98" t="str">
        <f t="shared" si="364"/>
        <v>REG</v>
      </c>
    </row>
    <row r="149" spans="1:27" ht="40" customHeight="1" x14ac:dyDescent="0.4">
      <c r="A149" s="96" t="str">
        <f t="shared" si="365"/>
        <v>PANTHERS 2</v>
      </c>
      <c r="B149" s="96">
        <v>8</v>
      </c>
      <c r="C149" s="96">
        <f t="shared" si="363"/>
        <v>9</v>
      </c>
      <c r="D149" s="72" t="s">
        <v>44</v>
      </c>
      <c r="E149" s="89">
        <v>8</v>
      </c>
      <c r="F149" s="89">
        <v>12</v>
      </c>
      <c r="G149" s="89">
        <v>0</v>
      </c>
      <c r="H149" s="89">
        <v>1</v>
      </c>
      <c r="I149" s="89">
        <v>8</v>
      </c>
      <c r="J149" s="89">
        <v>13</v>
      </c>
      <c r="K149" s="89">
        <v>0</v>
      </c>
      <c r="L149" s="89">
        <v>0</v>
      </c>
      <c r="M149" s="89">
        <v>5</v>
      </c>
      <c r="N149" s="89">
        <v>7</v>
      </c>
      <c r="O149" s="89">
        <v>16</v>
      </c>
      <c r="P149" s="89">
        <v>12</v>
      </c>
      <c r="Q149" s="89">
        <v>1</v>
      </c>
      <c r="R149" s="89">
        <v>0</v>
      </c>
      <c r="S149" s="89">
        <v>0</v>
      </c>
      <c r="T149" s="89">
        <v>1</v>
      </c>
      <c r="U149" s="89">
        <v>0</v>
      </c>
      <c r="V149" s="90">
        <v>0.61538461538461542</v>
      </c>
      <c r="W149" s="90">
        <v>0</v>
      </c>
      <c r="X149" s="90">
        <v>0.66666666666666663</v>
      </c>
      <c r="Y149" s="90">
        <v>0</v>
      </c>
      <c r="Z149" s="91">
        <v>15.399999999999999</v>
      </c>
      <c r="AA149" s="98" t="str">
        <f t="shared" si="364"/>
        <v>REG</v>
      </c>
    </row>
    <row r="150" spans="1:27" ht="40" customHeight="1" x14ac:dyDescent="0.4">
      <c r="A150" s="96" t="str">
        <f>A149</f>
        <v>PANTHERS 2</v>
      </c>
      <c r="B150" s="96">
        <v>8</v>
      </c>
      <c r="C150" s="96">
        <f t="shared" si="363"/>
        <v>9</v>
      </c>
      <c r="D150" s="72" t="s">
        <v>31</v>
      </c>
      <c r="E150" s="76">
        <v>29</v>
      </c>
      <c r="F150" s="76">
        <v>51</v>
      </c>
      <c r="G150" s="76">
        <v>8</v>
      </c>
      <c r="H150" s="76">
        <v>25</v>
      </c>
      <c r="I150" s="76">
        <v>37</v>
      </c>
      <c r="J150" s="76">
        <v>76</v>
      </c>
      <c r="K150" s="76">
        <v>5</v>
      </c>
      <c r="L150" s="76">
        <v>8</v>
      </c>
      <c r="M150" s="76">
        <v>13</v>
      </c>
      <c r="N150" s="76">
        <v>35</v>
      </c>
      <c r="O150" s="76">
        <v>87</v>
      </c>
      <c r="P150" s="76">
        <v>48</v>
      </c>
      <c r="Q150" s="76">
        <v>20</v>
      </c>
      <c r="R150" s="76">
        <v>4</v>
      </c>
      <c r="S150" s="76">
        <v>8</v>
      </c>
      <c r="T150" s="76">
        <v>12</v>
      </c>
      <c r="U150" s="76">
        <v>0</v>
      </c>
      <c r="V150" s="92">
        <v>0.48684210526315791</v>
      </c>
      <c r="W150" s="92">
        <v>0.625</v>
      </c>
      <c r="X150" s="92">
        <v>0.56862745098039214</v>
      </c>
      <c r="Y150" s="92">
        <v>0.32</v>
      </c>
      <c r="Z150" s="93">
        <v>15.960000000000003</v>
      </c>
      <c r="AA150" s="100" t="str">
        <f t="shared" si="364"/>
        <v>REG</v>
      </c>
    </row>
    <row r="151" spans="1:27" ht="40" customHeight="1" x14ac:dyDescent="0.4">
      <c r="A151" s="96" t="s">
        <v>38</v>
      </c>
      <c r="B151" s="96">
        <v>8</v>
      </c>
      <c r="C151" s="96">
        <f t="shared" si="363"/>
        <v>9</v>
      </c>
      <c r="D151" s="94" t="s">
        <v>39</v>
      </c>
      <c r="E151" s="94"/>
      <c r="F151" s="94"/>
      <c r="G151" s="94"/>
      <c r="H151" s="94"/>
      <c r="I151" s="94"/>
      <c r="J151" s="94"/>
      <c r="K151" s="94"/>
      <c r="L151" s="94"/>
      <c r="M151" s="94"/>
      <c r="N151" s="94"/>
      <c r="O151" s="94">
        <v>60</v>
      </c>
      <c r="P151" s="94"/>
      <c r="Q151" s="94"/>
      <c r="R151" s="94"/>
      <c r="S151" s="94"/>
      <c r="T151" s="94"/>
      <c r="U151" s="94"/>
      <c r="V151" s="94"/>
      <c r="W151" s="94"/>
      <c r="X151" s="94"/>
      <c r="Y151" s="94"/>
      <c r="Z151" s="94"/>
      <c r="AA151" s="96" t="str">
        <f t="shared" si="364"/>
        <v>REG</v>
      </c>
    </row>
    <row r="152" spans="1:27" ht="40" customHeight="1" x14ac:dyDescent="0.4">
      <c r="A152" s="96" t="str">
        <f>A153</f>
        <v>MAGIC 1</v>
      </c>
      <c r="B152" s="96">
        <v>8</v>
      </c>
      <c r="C152" s="96">
        <f>C145+1</f>
        <v>10</v>
      </c>
      <c r="D152" s="72" t="s">
        <v>40</v>
      </c>
      <c r="E152" s="77">
        <v>4</v>
      </c>
      <c r="F152" s="77">
        <v>11</v>
      </c>
      <c r="G152" s="77">
        <v>0</v>
      </c>
      <c r="H152" s="77">
        <v>4</v>
      </c>
      <c r="I152" s="77">
        <v>4</v>
      </c>
      <c r="J152" s="77">
        <v>15</v>
      </c>
      <c r="K152" s="77">
        <v>1</v>
      </c>
      <c r="L152" s="77">
        <v>4</v>
      </c>
      <c r="M152" s="77">
        <v>5</v>
      </c>
      <c r="N152" s="77">
        <v>4</v>
      </c>
      <c r="O152" s="77">
        <v>9</v>
      </c>
      <c r="P152" s="77">
        <v>9</v>
      </c>
      <c r="Q152" s="77">
        <v>6</v>
      </c>
      <c r="R152" s="77">
        <v>1</v>
      </c>
      <c r="S152" s="77">
        <v>0</v>
      </c>
      <c r="T152" s="77">
        <v>0</v>
      </c>
      <c r="U152" s="77">
        <v>3</v>
      </c>
      <c r="V152" s="78">
        <v>0.26666666666666666</v>
      </c>
      <c r="W152" s="78">
        <v>0.25</v>
      </c>
      <c r="X152" s="78">
        <v>0.36363636363636365</v>
      </c>
      <c r="Y152" s="78">
        <v>0</v>
      </c>
      <c r="Z152" s="79">
        <v>7.299999999999998</v>
      </c>
      <c r="AA152" s="98" t="s">
        <v>33</v>
      </c>
    </row>
    <row r="153" spans="1:27" ht="40" customHeight="1" x14ac:dyDescent="0.4">
      <c r="A153" s="96" t="str">
        <f>D158</f>
        <v>MAGIC 1</v>
      </c>
      <c r="B153" s="96">
        <v>8</v>
      </c>
      <c r="C153" s="96">
        <f t="shared" ref="C153:C158" si="366">C152</f>
        <v>10</v>
      </c>
      <c r="D153" s="72" t="s">
        <v>41</v>
      </c>
      <c r="E153" s="80">
        <v>2</v>
      </c>
      <c r="F153" s="80">
        <v>5</v>
      </c>
      <c r="G153" s="80">
        <v>4</v>
      </c>
      <c r="H153" s="80">
        <v>10</v>
      </c>
      <c r="I153" s="80">
        <v>6</v>
      </c>
      <c r="J153" s="80">
        <v>15</v>
      </c>
      <c r="K153" s="80">
        <v>0</v>
      </c>
      <c r="L153" s="80">
        <v>0</v>
      </c>
      <c r="M153" s="80">
        <v>0</v>
      </c>
      <c r="N153" s="80">
        <v>2</v>
      </c>
      <c r="O153" s="80">
        <v>16</v>
      </c>
      <c r="P153" s="80">
        <v>2</v>
      </c>
      <c r="Q153" s="80">
        <v>6</v>
      </c>
      <c r="R153" s="80">
        <v>0</v>
      </c>
      <c r="S153" s="80">
        <v>2</v>
      </c>
      <c r="T153" s="80">
        <v>1</v>
      </c>
      <c r="U153" s="80">
        <v>0</v>
      </c>
      <c r="V153" s="81">
        <v>0.4</v>
      </c>
      <c r="W153" s="81">
        <v>0</v>
      </c>
      <c r="X153" s="81">
        <v>0.4</v>
      </c>
      <c r="Y153" s="81">
        <v>0.4</v>
      </c>
      <c r="Z153" s="82">
        <v>13.699999999999998</v>
      </c>
      <c r="AA153" s="98" t="str">
        <f>AA152</f>
        <v>REG</v>
      </c>
    </row>
    <row r="154" spans="1:27" ht="40" customHeight="1" x14ac:dyDescent="0.4">
      <c r="A154" s="96" t="str">
        <f>A153</f>
        <v>MAGIC 1</v>
      </c>
      <c r="B154" s="96">
        <v>8</v>
      </c>
      <c r="C154" s="96">
        <f t="shared" si="366"/>
        <v>10</v>
      </c>
      <c r="D154" s="72" t="s">
        <v>42</v>
      </c>
      <c r="E154" s="83">
        <v>6</v>
      </c>
      <c r="F154" s="83">
        <v>11</v>
      </c>
      <c r="G154" s="83">
        <v>3</v>
      </c>
      <c r="H154" s="83">
        <v>6</v>
      </c>
      <c r="I154" s="83">
        <v>9</v>
      </c>
      <c r="J154" s="83">
        <v>17</v>
      </c>
      <c r="K154" s="83">
        <v>0</v>
      </c>
      <c r="L154" s="83">
        <v>2</v>
      </c>
      <c r="M154" s="83">
        <v>1</v>
      </c>
      <c r="N154" s="83">
        <v>2</v>
      </c>
      <c r="O154" s="83">
        <v>21</v>
      </c>
      <c r="P154" s="83">
        <v>3</v>
      </c>
      <c r="Q154" s="83">
        <v>4</v>
      </c>
      <c r="R154" s="83">
        <v>0</v>
      </c>
      <c r="S154" s="83">
        <v>0</v>
      </c>
      <c r="T154" s="83">
        <v>1</v>
      </c>
      <c r="U154" s="83">
        <v>3</v>
      </c>
      <c r="V154" s="84">
        <v>0.52941176470588236</v>
      </c>
      <c r="W154" s="84">
        <v>0</v>
      </c>
      <c r="X154" s="84">
        <v>0.54545454545454541</v>
      </c>
      <c r="Y154" s="84">
        <v>0.5</v>
      </c>
      <c r="Z154" s="85">
        <v>13.8</v>
      </c>
      <c r="AA154" s="98" t="str">
        <f t="shared" ref="AA154:AA158" si="367">AA153</f>
        <v>REG</v>
      </c>
    </row>
    <row r="155" spans="1:27" ht="40" customHeight="1" x14ac:dyDescent="0.4">
      <c r="A155" s="96" t="str">
        <f t="shared" ref="A155:A156" si="368">A154</f>
        <v>MAGIC 1</v>
      </c>
      <c r="B155" s="96">
        <v>8</v>
      </c>
      <c r="C155" s="96">
        <f t="shared" si="366"/>
        <v>10</v>
      </c>
      <c r="D155" s="72" t="s">
        <v>43</v>
      </c>
      <c r="E155" s="86">
        <v>2</v>
      </c>
      <c r="F155" s="86">
        <v>3</v>
      </c>
      <c r="G155" s="86">
        <v>1</v>
      </c>
      <c r="H155" s="86">
        <v>4</v>
      </c>
      <c r="I155" s="86">
        <v>3</v>
      </c>
      <c r="J155" s="86">
        <v>7</v>
      </c>
      <c r="K155" s="86">
        <v>3</v>
      </c>
      <c r="L155" s="86">
        <v>4</v>
      </c>
      <c r="M155" s="86">
        <v>1</v>
      </c>
      <c r="N155" s="86">
        <v>17</v>
      </c>
      <c r="O155" s="86">
        <v>10</v>
      </c>
      <c r="P155" s="86">
        <v>18</v>
      </c>
      <c r="Q155" s="86">
        <v>3</v>
      </c>
      <c r="R155" s="86">
        <v>4</v>
      </c>
      <c r="S155" s="86">
        <v>1</v>
      </c>
      <c r="T155" s="86">
        <v>1</v>
      </c>
      <c r="U155" s="86">
        <v>2</v>
      </c>
      <c r="V155" s="87">
        <v>0.42857142857142855</v>
      </c>
      <c r="W155" s="87">
        <v>0.75</v>
      </c>
      <c r="X155" s="87">
        <v>0.66666666666666663</v>
      </c>
      <c r="Y155" s="87">
        <v>0.25</v>
      </c>
      <c r="Z155" s="88">
        <v>15.799999999999997</v>
      </c>
      <c r="AA155" s="98" t="str">
        <f t="shared" si="367"/>
        <v>REG</v>
      </c>
    </row>
    <row r="156" spans="1:27" ht="40" customHeight="1" x14ac:dyDescent="0.4">
      <c r="A156" s="96" t="str">
        <f t="shared" si="368"/>
        <v>MAGIC 1</v>
      </c>
      <c r="B156" s="96">
        <v>8</v>
      </c>
      <c r="C156" s="96">
        <f t="shared" si="366"/>
        <v>10</v>
      </c>
      <c r="D156" s="72" t="s">
        <v>44</v>
      </c>
      <c r="E156" s="89">
        <v>2</v>
      </c>
      <c r="F156" s="89">
        <v>5</v>
      </c>
      <c r="G156" s="89">
        <v>1</v>
      </c>
      <c r="H156" s="89">
        <v>3</v>
      </c>
      <c r="I156" s="89">
        <v>3</v>
      </c>
      <c r="J156" s="89">
        <v>8</v>
      </c>
      <c r="K156" s="89">
        <v>0</v>
      </c>
      <c r="L156" s="89">
        <v>2</v>
      </c>
      <c r="M156" s="89">
        <v>4</v>
      </c>
      <c r="N156" s="89">
        <v>3</v>
      </c>
      <c r="O156" s="89">
        <v>7</v>
      </c>
      <c r="P156" s="89">
        <v>7</v>
      </c>
      <c r="Q156" s="89">
        <v>1</v>
      </c>
      <c r="R156" s="89">
        <v>0</v>
      </c>
      <c r="S156" s="89">
        <v>0</v>
      </c>
      <c r="T156" s="89">
        <v>1</v>
      </c>
      <c r="U156" s="89">
        <v>2</v>
      </c>
      <c r="V156" s="90">
        <v>0.375</v>
      </c>
      <c r="W156" s="90">
        <v>0</v>
      </c>
      <c r="X156" s="90">
        <v>0.4</v>
      </c>
      <c r="Y156" s="90">
        <v>0.33333333333333331</v>
      </c>
      <c r="Z156" s="91">
        <v>4.4000000000000004</v>
      </c>
      <c r="AA156" s="98" t="str">
        <f t="shared" si="367"/>
        <v>REG</v>
      </c>
    </row>
    <row r="157" spans="1:27" ht="40" customHeight="1" x14ac:dyDescent="0.4">
      <c r="A157" s="96" t="str">
        <f>A156</f>
        <v>MAGIC 1</v>
      </c>
      <c r="B157" s="96">
        <v>8</v>
      </c>
      <c r="C157" s="96">
        <f t="shared" si="366"/>
        <v>10</v>
      </c>
      <c r="D157" s="72" t="s">
        <v>31</v>
      </c>
      <c r="E157" s="76">
        <v>16</v>
      </c>
      <c r="F157" s="76">
        <v>35</v>
      </c>
      <c r="G157" s="76">
        <v>9</v>
      </c>
      <c r="H157" s="76">
        <v>27</v>
      </c>
      <c r="I157" s="76">
        <v>25</v>
      </c>
      <c r="J157" s="76">
        <v>62</v>
      </c>
      <c r="K157" s="76">
        <v>4</v>
      </c>
      <c r="L157" s="76">
        <v>12</v>
      </c>
      <c r="M157" s="76">
        <v>11</v>
      </c>
      <c r="N157" s="76">
        <v>28</v>
      </c>
      <c r="O157" s="76">
        <v>63</v>
      </c>
      <c r="P157" s="76">
        <v>39</v>
      </c>
      <c r="Q157" s="76">
        <v>20</v>
      </c>
      <c r="R157" s="76">
        <v>5</v>
      </c>
      <c r="S157" s="76">
        <v>3</v>
      </c>
      <c r="T157" s="76">
        <v>4</v>
      </c>
      <c r="U157" s="76">
        <v>10</v>
      </c>
      <c r="V157" s="92">
        <v>0.40322580645161288</v>
      </c>
      <c r="W157" s="92">
        <v>0.33333333333333331</v>
      </c>
      <c r="X157" s="92">
        <v>0.45714285714285713</v>
      </c>
      <c r="Y157" s="92">
        <v>0.33333333333333331</v>
      </c>
      <c r="Z157" s="93">
        <v>10.999999999999998</v>
      </c>
      <c r="AA157" s="100" t="str">
        <f t="shared" si="367"/>
        <v>REG</v>
      </c>
    </row>
    <row r="158" spans="1:27" ht="40" customHeight="1" x14ac:dyDescent="0.4">
      <c r="A158" s="96" t="s">
        <v>38</v>
      </c>
      <c r="B158" s="96">
        <v>8</v>
      </c>
      <c r="C158" s="96">
        <f t="shared" si="366"/>
        <v>10</v>
      </c>
      <c r="D158" s="94" t="s">
        <v>35</v>
      </c>
      <c r="E158" s="94"/>
      <c r="F158" s="94"/>
      <c r="G158" s="94"/>
      <c r="H158" s="94"/>
      <c r="I158" s="94"/>
      <c r="J158" s="94"/>
      <c r="K158" s="94"/>
      <c r="L158" s="94"/>
      <c r="M158" s="94"/>
      <c r="N158" s="94"/>
      <c r="O158" s="94">
        <v>47</v>
      </c>
      <c r="P158" s="94"/>
      <c r="Q158" s="94"/>
      <c r="R158" s="94"/>
      <c r="S158" s="94"/>
      <c r="T158" s="94"/>
      <c r="U158" s="94"/>
      <c r="V158" s="94"/>
      <c r="W158" s="94"/>
      <c r="X158" s="94"/>
      <c r="Y158" s="94"/>
      <c r="Z158" s="94"/>
      <c r="AA158" s="96" t="str">
        <f t="shared" si="367"/>
        <v>REG</v>
      </c>
    </row>
    <row r="159" spans="1:27" ht="40" customHeight="1" x14ac:dyDescent="0.4">
      <c r="A159" s="96" t="str">
        <f>A160</f>
        <v>LIGHTNING 1</v>
      </c>
      <c r="B159" s="96">
        <v>8</v>
      </c>
      <c r="C159" s="96">
        <f>C152+1</f>
        <v>11</v>
      </c>
      <c r="D159" s="72" t="s">
        <v>40</v>
      </c>
      <c r="E159" s="77">
        <v>6</v>
      </c>
      <c r="F159" s="77">
        <v>20</v>
      </c>
      <c r="G159" s="77">
        <v>1</v>
      </c>
      <c r="H159" s="77">
        <v>4</v>
      </c>
      <c r="I159" s="77">
        <v>7</v>
      </c>
      <c r="J159" s="77">
        <v>24</v>
      </c>
      <c r="K159" s="77">
        <v>1</v>
      </c>
      <c r="L159" s="77">
        <v>4</v>
      </c>
      <c r="M159" s="77">
        <v>8</v>
      </c>
      <c r="N159" s="77">
        <v>5</v>
      </c>
      <c r="O159" s="77">
        <v>16</v>
      </c>
      <c r="P159" s="77">
        <v>13</v>
      </c>
      <c r="Q159" s="77">
        <v>4</v>
      </c>
      <c r="R159" s="77">
        <v>1</v>
      </c>
      <c r="S159" s="77">
        <v>0</v>
      </c>
      <c r="T159" s="77">
        <v>0</v>
      </c>
      <c r="U159" s="77">
        <v>0</v>
      </c>
      <c r="V159" s="78">
        <v>0.29166666666666669</v>
      </c>
      <c r="W159" s="78">
        <v>0.25</v>
      </c>
      <c r="X159" s="78">
        <v>0.3</v>
      </c>
      <c r="Y159" s="78">
        <v>0.25</v>
      </c>
      <c r="Z159" s="79">
        <v>11.400000000000002</v>
      </c>
      <c r="AA159" s="98" t="s">
        <v>33</v>
      </c>
    </row>
    <row r="160" spans="1:27" ht="40" customHeight="1" x14ac:dyDescent="0.4">
      <c r="A160" s="96" t="str">
        <f>D165</f>
        <v>LIGHTNING 1</v>
      </c>
      <c r="B160" s="96">
        <v>8</v>
      </c>
      <c r="C160" s="96">
        <f t="shared" ref="C160:C165" si="369">C159</f>
        <v>11</v>
      </c>
      <c r="D160" s="72" t="s">
        <v>41</v>
      </c>
      <c r="E160" s="80">
        <v>2</v>
      </c>
      <c r="F160" s="80">
        <v>6</v>
      </c>
      <c r="G160" s="80">
        <v>0</v>
      </c>
      <c r="H160" s="80">
        <v>0</v>
      </c>
      <c r="I160" s="80">
        <v>2</v>
      </c>
      <c r="J160" s="80">
        <v>6</v>
      </c>
      <c r="K160" s="80">
        <v>0</v>
      </c>
      <c r="L160" s="80">
        <v>0</v>
      </c>
      <c r="M160" s="80">
        <v>0</v>
      </c>
      <c r="N160" s="80">
        <v>3</v>
      </c>
      <c r="O160" s="80">
        <v>4</v>
      </c>
      <c r="P160" s="80">
        <v>3</v>
      </c>
      <c r="Q160" s="80">
        <v>1</v>
      </c>
      <c r="R160" s="80">
        <v>1</v>
      </c>
      <c r="S160" s="80">
        <v>1</v>
      </c>
      <c r="T160" s="80">
        <v>1</v>
      </c>
      <c r="U160" s="80">
        <v>0</v>
      </c>
      <c r="V160" s="81">
        <v>0.33333333333333331</v>
      </c>
      <c r="W160" s="81">
        <v>0</v>
      </c>
      <c r="X160" s="81">
        <v>0.33333333333333331</v>
      </c>
      <c r="Y160" s="81">
        <v>0</v>
      </c>
      <c r="Z160" s="82">
        <v>2.9000000000000004</v>
      </c>
      <c r="AA160" s="98" t="str">
        <f>AA159</f>
        <v>REG</v>
      </c>
    </row>
    <row r="161" spans="1:27" ht="40" customHeight="1" x14ac:dyDescent="0.4">
      <c r="A161" s="96" t="str">
        <f>A160</f>
        <v>LIGHTNING 1</v>
      </c>
      <c r="B161" s="96">
        <v>8</v>
      </c>
      <c r="C161" s="96">
        <f t="shared" si="369"/>
        <v>11</v>
      </c>
      <c r="D161" s="72" t="s">
        <v>42</v>
      </c>
      <c r="E161" s="83">
        <v>13</v>
      </c>
      <c r="F161" s="83">
        <v>28</v>
      </c>
      <c r="G161" s="83">
        <v>1</v>
      </c>
      <c r="H161" s="83">
        <v>4</v>
      </c>
      <c r="I161" s="83">
        <v>14</v>
      </c>
      <c r="J161" s="83">
        <v>32</v>
      </c>
      <c r="K161" s="83">
        <v>4</v>
      </c>
      <c r="L161" s="83">
        <v>6</v>
      </c>
      <c r="M161" s="83">
        <v>6</v>
      </c>
      <c r="N161" s="83">
        <v>5</v>
      </c>
      <c r="O161" s="83">
        <v>33</v>
      </c>
      <c r="P161" s="83">
        <v>11</v>
      </c>
      <c r="Q161" s="83">
        <v>0</v>
      </c>
      <c r="R161" s="83">
        <v>0</v>
      </c>
      <c r="S161" s="83">
        <v>1</v>
      </c>
      <c r="T161" s="83">
        <v>5</v>
      </c>
      <c r="U161" s="83">
        <v>0</v>
      </c>
      <c r="V161" s="84">
        <v>0.4375</v>
      </c>
      <c r="W161" s="84">
        <v>0.66666666666666663</v>
      </c>
      <c r="X161" s="84">
        <v>0.4642857142857143</v>
      </c>
      <c r="Y161" s="84">
        <v>0.25</v>
      </c>
      <c r="Z161" s="85">
        <v>17.100000000000001</v>
      </c>
      <c r="AA161" s="98" t="str">
        <f t="shared" ref="AA161:AA165" si="370">AA160</f>
        <v>REG</v>
      </c>
    </row>
    <row r="162" spans="1:27" ht="40" customHeight="1" x14ac:dyDescent="0.4">
      <c r="A162" s="96" t="str">
        <f t="shared" ref="A162:A163" si="371">A161</f>
        <v>LIGHTNING 1</v>
      </c>
      <c r="B162" s="96">
        <v>8</v>
      </c>
      <c r="C162" s="96">
        <f t="shared" si="369"/>
        <v>11</v>
      </c>
      <c r="D162" s="72" t="s">
        <v>43</v>
      </c>
      <c r="E162" s="86">
        <v>1</v>
      </c>
      <c r="F162" s="86">
        <v>2</v>
      </c>
      <c r="G162" s="86">
        <v>0</v>
      </c>
      <c r="H162" s="86">
        <v>1</v>
      </c>
      <c r="I162" s="86">
        <v>1</v>
      </c>
      <c r="J162" s="86">
        <v>3</v>
      </c>
      <c r="K162" s="86">
        <v>0</v>
      </c>
      <c r="L162" s="86">
        <v>0</v>
      </c>
      <c r="M162" s="86">
        <v>1</v>
      </c>
      <c r="N162" s="86">
        <v>12</v>
      </c>
      <c r="O162" s="86">
        <v>2</v>
      </c>
      <c r="P162" s="86">
        <v>13</v>
      </c>
      <c r="Q162" s="86">
        <v>3</v>
      </c>
      <c r="R162" s="86">
        <v>1</v>
      </c>
      <c r="S162" s="86">
        <v>5</v>
      </c>
      <c r="T162" s="86">
        <v>2</v>
      </c>
      <c r="U162" s="86">
        <v>0</v>
      </c>
      <c r="V162" s="87">
        <v>0.33333333333333331</v>
      </c>
      <c r="W162" s="87">
        <v>0</v>
      </c>
      <c r="X162" s="87">
        <v>0.5</v>
      </c>
      <c r="Y162" s="87">
        <v>0</v>
      </c>
      <c r="Z162" s="88">
        <v>10.399999999999999</v>
      </c>
      <c r="AA162" s="98" t="str">
        <f t="shared" si="370"/>
        <v>REG</v>
      </c>
    </row>
    <row r="163" spans="1:27" ht="40" customHeight="1" x14ac:dyDescent="0.4">
      <c r="A163" s="96" t="str">
        <f t="shared" si="371"/>
        <v>LIGHTNING 1</v>
      </c>
      <c r="B163" s="96">
        <v>8</v>
      </c>
      <c r="C163" s="96">
        <f t="shared" si="369"/>
        <v>11</v>
      </c>
      <c r="D163" s="72" t="s">
        <v>44</v>
      </c>
      <c r="E163" s="89">
        <v>0</v>
      </c>
      <c r="F163" s="89">
        <v>2</v>
      </c>
      <c r="G163" s="89">
        <v>0</v>
      </c>
      <c r="H163" s="89">
        <v>1</v>
      </c>
      <c r="I163" s="89">
        <v>0</v>
      </c>
      <c r="J163" s="89">
        <v>3</v>
      </c>
      <c r="K163" s="89">
        <v>0</v>
      </c>
      <c r="L163" s="89">
        <v>0</v>
      </c>
      <c r="M163" s="89">
        <v>3</v>
      </c>
      <c r="N163" s="89">
        <v>1</v>
      </c>
      <c r="O163" s="89">
        <v>0</v>
      </c>
      <c r="P163" s="89">
        <v>4</v>
      </c>
      <c r="Q163" s="89">
        <v>2</v>
      </c>
      <c r="R163" s="89">
        <v>0</v>
      </c>
      <c r="S163" s="89">
        <v>0</v>
      </c>
      <c r="T163" s="89">
        <v>2</v>
      </c>
      <c r="U163" s="89">
        <v>0</v>
      </c>
      <c r="V163" s="90">
        <v>0</v>
      </c>
      <c r="W163" s="90">
        <v>0</v>
      </c>
      <c r="X163" s="90">
        <v>0</v>
      </c>
      <c r="Y163" s="90">
        <v>0</v>
      </c>
      <c r="Z163" s="91">
        <v>-0.30000000000000004</v>
      </c>
      <c r="AA163" s="98" t="str">
        <f t="shared" si="370"/>
        <v>REG</v>
      </c>
    </row>
    <row r="164" spans="1:27" ht="40" customHeight="1" x14ac:dyDescent="0.4">
      <c r="A164" s="96" t="str">
        <f>A163</f>
        <v>LIGHTNING 1</v>
      </c>
      <c r="B164" s="96">
        <v>8</v>
      </c>
      <c r="C164" s="96">
        <f t="shared" si="369"/>
        <v>11</v>
      </c>
      <c r="D164" s="72" t="s">
        <v>31</v>
      </c>
      <c r="E164" s="76">
        <v>22</v>
      </c>
      <c r="F164" s="76">
        <v>58</v>
      </c>
      <c r="G164" s="76">
        <v>2</v>
      </c>
      <c r="H164" s="76">
        <v>10</v>
      </c>
      <c r="I164" s="76">
        <v>24</v>
      </c>
      <c r="J164" s="76">
        <v>68</v>
      </c>
      <c r="K164" s="76">
        <v>5</v>
      </c>
      <c r="L164" s="76">
        <v>10</v>
      </c>
      <c r="M164" s="76">
        <v>18</v>
      </c>
      <c r="N164" s="76">
        <v>26</v>
      </c>
      <c r="O164" s="76">
        <v>55</v>
      </c>
      <c r="P164" s="76">
        <v>44</v>
      </c>
      <c r="Q164" s="76">
        <v>10</v>
      </c>
      <c r="R164" s="76">
        <v>3</v>
      </c>
      <c r="S164" s="76">
        <v>7</v>
      </c>
      <c r="T164" s="76">
        <v>10</v>
      </c>
      <c r="U164" s="76">
        <v>0</v>
      </c>
      <c r="V164" s="92">
        <v>0.35294117647058826</v>
      </c>
      <c r="W164" s="92">
        <v>0.5</v>
      </c>
      <c r="X164" s="92">
        <v>0.37931034482758619</v>
      </c>
      <c r="Y164" s="92">
        <v>0.2</v>
      </c>
      <c r="Z164" s="93">
        <v>8.3000000000000007</v>
      </c>
      <c r="AA164" s="100" t="str">
        <f t="shared" si="370"/>
        <v>REG</v>
      </c>
    </row>
    <row r="165" spans="1:27" ht="40" customHeight="1" x14ac:dyDescent="0.4">
      <c r="A165" s="96" t="s">
        <v>38</v>
      </c>
      <c r="B165" s="96">
        <v>8</v>
      </c>
      <c r="C165" s="96">
        <f t="shared" si="369"/>
        <v>11</v>
      </c>
      <c r="D165" s="94" t="s">
        <v>28</v>
      </c>
      <c r="E165" s="94"/>
      <c r="F165" s="94"/>
      <c r="G165" s="94"/>
      <c r="H165" s="94"/>
      <c r="I165" s="94"/>
      <c r="J165" s="94"/>
      <c r="K165" s="94"/>
      <c r="L165" s="94"/>
      <c r="M165" s="94"/>
      <c r="N165" s="94"/>
      <c r="O165" s="94">
        <v>65</v>
      </c>
      <c r="P165" s="94"/>
      <c r="Q165" s="94"/>
      <c r="R165" s="94"/>
      <c r="S165" s="94"/>
      <c r="T165" s="94"/>
      <c r="U165" s="94"/>
      <c r="V165" s="94"/>
      <c r="W165" s="94"/>
      <c r="X165" s="94"/>
      <c r="Y165" s="94"/>
      <c r="Z165" s="94"/>
      <c r="AA165" s="96" t="str">
        <f t="shared" si="370"/>
        <v>REG</v>
      </c>
    </row>
    <row r="166" spans="1:27" ht="40" customHeight="1" x14ac:dyDescent="0.4">
      <c r="A166" s="96" t="str">
        <f>A167</f>
        <v>MAGIC 2</v>
      </c>
      <c r="B166" s="96">
        <v>8</v>
      </c>
      <c r="C166" s="96">
        <f>C159+1</f>
        <v>12</v>
      </c>
      <c r="D166" s="72" t="s">
        <v>40</v>
      </c>
      <c r="E166" s="77">
        <v>9</v>
      </c>
      <c r="F166" s="77">
        <v>17</v>
      </c>
      <c r="G166" s="77">
        <v>0</v>
      </c>
      <c r="H166" s="77">
        <v>3</v>
      </c>
      <c r="I166" s="77">
        <v>9</v>
      </c>
      <c r="J166" s="77">
        <v>20</v>
      </c>
      <c r="K166" s="77">
        <v>2</v>
      </c>
      <c r="L166" s="77">
        <v>4</v>
      </c>
      <c r="M166" s="77">
        <v>5</v>
      </c>
      <c r="N166" s="77">
        <v>3</v>
      </c>
      <c r="O166" s="77">
        <v>20</v>
      </c>
      <c r="P166" s="77">
        <v>8</v>
      </c>
      <c r="Q166" s="77">
        <v>4</v>
      </c>
      <c r="R166" s="77">
        <v>0</v>
      </c>
      <c r="S166" s="77">
        <v>3</v>
      </c>
      <c r="T166" s="77">
        <v>1</v>
      </c>
      <c r="U166" s="77">
        <v>1</v>
      </c>
      <c r="V166" s="78">
        <v>0.45</v>
      </c>
      <c r="W166" s="78">
        <v>0.5</v>
      </c>
      <c r="X166" s="78">
        <v>0.52941176470588236</v>
      </c>
      <c r="Y166" s="78">
        <v>0</v>
      </c>
      <c r="Z166" s="79">
        <v>17.600000000000005</v>
      </c>
      <c r="AA166" s="98" t="s">
        <v>33</v>
      </c>
    </row>
    <row r="167" spans="1:27" ht="40" customHeight="1" x14ac:dyDescent="0.4">
      <c r="A167" s="96" t="str">
        <f>D172</f>
        <v>MAGIC 2</v>
      </c>
      <c r="B167" s="96">
        <v>8</v>
      </c>
      <c r="C167" s="96">
        <f t="shared" ref="C167:C172" si="372">C166</f>
        <v>12</v>
      </c>
      <c r="D167" s="72" t="s">
        <v>41</v>
      </c>
      <c r="E167" s="80">
        <v>2</v>
      </c>
      <c r="F167" s="80">
        <v>5</v>
      </c>
      <c r="G167" s="80">
        <v>3</v>
      </c>
      <c r="H167" s="80">
        <v>7</v>
      </c>
      <c r="I167" s="80">
        <v>5</v>
      </c>
      <c r="J167" s="80">
        <v>12</v>
      </c>
      <c r="K167" s="80">
        <v>1</v>
      </c>
      <c r="L167" s="80">
        <v>1</v>
      </c>
      <c r="M167" s="80">
        <v>1</v>
      </c>
      <c r="N167" s="80">
        <v>3</v>
      </c>
      <c r="O167" s="80">
        <v>14</v>
      </c>
      <c r="P167" s="80">
        <v>4</v>
      </c>
      <c r="Q167" s="80">
        <v>5</v>
      </c>
      <c r="R167" s="80">
        <v>0</v>
      </c>
      <c r="S167" s="80">
        <v>1</v>
      </c>
      <c r="T167" s="80">
        <v>1</v>
      </c>
      <c r="U167" s="80">
        <v>5</v>
      </c>
      <c r="V167" s="81">
        <v>0.41666666666666669</v>
      </c>
      <c r="W167" s="81">
        <v>1</v>
      </c>
      <c r="X167" s="81">
        <v>0.4</v>
      </c>
      <c r="Y167" s="81">
        <v>0.42857142857142855</v>
      </c>
      <c r="Z167" s="82">
        <v>10.700000000000001</v>
      </c>
      <c r="AA167" s="98" t="str">
        <f>AA166</f>
        <v>REG</v>
      </c>
    </row>
    <row r="168" spans="1:27" ht="40" customHeight="1" x14ac:dyDescent="0.4">
      <c r="A168" s="96" t="str">
        <f>A167</f>
        <v>MAGIC 2</v>
      </c>
      <c r="B168" s="96">
        <v>8</v>
      </c>
      <c r="C168" s="96">
        <f t="shared" si="372"/>
        <v>12</v>
      </c>
      <c r="D168" s="72" t="s">
        <v>42</v>
      </c>
      <c r="E168" s="83">
        <v>10</v>
      </c>
      <c r="F168" s="83">
        <v>18</v>
      </c>
      <c r="G168" s="83">
        <v>2</v>
      </c>
      <c r="H168" s="83">
        <v>4</v>
      </c>
      <c r="I168" s="83">
        <v>12</v>
      </c>
      <c r="J168" s="83">
        <v>22</v>
      </c>
      <c r="K168" s="83">
        <v>2</v>
      </c>
      <c r="L168" s="83">
        <v>2</v>
      </c>
      <c r="M168" s="83">
        <v>1</v>
      </c>
      <c r="N168" s="83">
        <v>10</v>
      </c>
      <c r="O168" s="83">
        <v>28</v>
      </c>
      <c r="P168" s="83">
        <v>11</v>
      </c>
      <c r="Q168" s="83">
        <v>4</v>
      </c>
      <c r="R168" s="83">
        <v>0</v>
      </c>
      <c r="S168" s="83">
        <v>1</v>
      </c>
      <c r="T168" s="83">
        <v>4</v>
      </c>
      <c r="U168" s="83">
        <v>0</v>
      </c>
      <c r="V168" s="84">
        <v>0.54545454545454541</v>
      </c>
      <c r="W168" s="84">
        <v>1</v>
      </c>
      <c r="X168" s="84">
        <v>0.55555555555555558</v>
      </c>
      <c r="Y168" s="84">
        <v>0.5</v>
      </c>
      <c r="Z168" s="85">
        <v>20.9</v>
      </c>
      <c r="AA168" s="98" t="str">
        <f t="shared" ref="AA168:AA172" si="373">AA167</f>
        <v>REG</v>
      </c>
    </row>
    <row r="169" spans="1:27" ht="40" customHeight="1" x14ac:dyDescent="0.4">
      <c r="A169" s="96" t="str">
        <f t="shared" ref="A169:A170" si="374">A168</f>
        <v>MAGIC 2</v>
      </c>
      <c r="B169" s="96">
        <v>8</v>
      </c>
      <c r="C169" s="96">
        <f t="shared" si="372"/>
        <v>12</v>
      </c>
      <c r="D169" s="72" t="s">
        <v>43</v>
      </c>
      <c r="E169" s="86">
        <v>2</v>
      </c>
      <c r="F169" s="86">
        <v>9</v>
      </c>
      <c r="G169" s="86">
        <v>1</v>
      </c>
      <c r="H169" s="86">
        <v>3</v>
      </c>
      <c r="I169" s="86">
        <v>3</v>
      </c>
      <c r="J169" s="86">
        <v>12</v>
      </c>
      <c r="K169" s="86">
        <v>0</v>
      </c>
      <c r="L169" s="86">
        <v>0</v>
      </c>
      <c r="M169" s="86">
        <v>1</v>
      </c>
      <c r="N169" s="86">
        <v>10</v>
      </c>
      <c r="O169" s="86">
        <v>7</v>
      </c>
      <c r="P169" s="86">
        <v>11</v>
      </c>
      <c r="Q169" s="86">
        <v>3</v>
      </c>
      <c r="R169" s="86">
        <v>2</v>
      </c>
      <c r="S169" s="86">
        <v>1</v>
      </c>
      <c r="T169" s="86">
        <v>1</v>
      </c>
      <c r="U169" s="86">
        <v>0</v>
      </c>
      <c r="V169" s="87">
        <v>0.25</v>
      </c>
      <c r="W169" s="87">
        <v>0</v>
      </c>
      <c r="X169" s="87">
        <v>0.22222222222222221</v>
      </c>
      <c r="Y169" s="87">
        <v>0.33333333333333331</v>
      </c>
      <c r="Z169" s="88">
        <v>7</v>
      </c>
      <c r="AA169" s="98" t="str">
        <f t="shared" si="373"/>
        <v>REG</v>
      </c>
    </row>
    <row r="170" spans="1:27" ht="40" customHeight="1" x14ac:dyDescent="0.4">
      <c r="A170" s="96" t="str">
        <f t="shared" si="374"/>
        <v>MAGIC 2</v>
      </c>
      <c r="B170" s="96">
        <v>8</v>
      </c>
      <c r="C170" s="96">
        <f t="shared" si="372"/>
        <v>12</v>
      </c>
      <c r="D170" s="72" t="s">
        <v>44</v>
      </c>
      <c r="E170" s="89">
        <v>2</v>
      </c>
      <c r="F170" s="89">
        <v>6</v>
      </c>
      <c r="G170" s="89">
        <v>1</v>
      </c>
      <c r="H170" s="89">
        <v>2</v>
      </c>
      <c r="I170" s="89">
        <v>3</v>
      </c>
      <c r="J170" s="89">
        <v>8</v>
      </c>
      <c r="K170" s="89">
        <v>0</v>
      </c>
      <c r="L170" s="89">
        <v>0</v>
      </c>
      <c r="M170" s="89">
        <v>4</v>
      </c>
      <c r="N170" s="89">
        <v>5</v>
      </c>
      <c r="O170" s="89">
        <v>7</v>
      </c>
      <c r="P170" s="89">
        <v>9</v>
      </c>
      <c r="Q170" s="89">
        <v>2</v>
      </c>
      <c r="R170" s="89">
        <v>0</v>
      </c>
      <c r="S170" s="89">
        <v>0</v>
      </c>
      <c r="T170" s="89">
        <v>1</v>
      </c>
      <c r="U170" s="89">
        <v>1</v>
      </c>
      <c r="V170" s="90">
        <v>0.375</v>
      </c>
      <c r="W170" s="90">
        <v>0</v>
      </c>
      <c r="X170" s="90">
        <v>0.33333333333333331</v>
      </c>
      <c r="Y170" s="90">
        <v>0.5</v>
      </c>
      <c r="Z170" s="91">
        <v>6.8999999999999986</v>
      </c>
      <c r="AA170" s="98" t="str">
        <f t="shared" si="373"/>
        <v>REG</v>
      </c>
    </row>
    <row r="171" spans="1:27" ht="40" customHeight="1" x14ac:dyDescent="0.4">
      <c r="A171" s="96" t="str">
        <f>A170</f>
        <v>MAGIC 2</v>
      </c>
      <c r="B171" s="96">
        <v>8</v>
      </c>
      <c r="C171" s="96">
        <f t="shared" si="372"/>
        <v>12</v>
      </c>
      <c r="D171" s="72" t="s">
        <v>31</v>
      </c>
      <c r="E171" s="76">
        <v>25</v>
      </c>
      <c r="F171" s="76">
        <v>55</v>
      </c>
      <c r="G171" s="76">
        <v>7</v>
      </c>
      <c r="H171" s="76">
        <v>19</v>
      </c>
      <c r="I171" s="76">
        <v>32</v>
      </c>
      <c r="J171" s="76">
        <v>74</v>
      </c>
      <c r="K171" s="76">
        <v>5</v>
      </c>
      <c r="L171" s="76">
        <v>7</v>
      </c>
      <c r="M171" s="76">
        <v>12</v>
      </c>
      <c r="N171" s="76">
        <v>31</v>
      </c>
      <c r="O171" s="76">
        <v>76</v>
      </c>
      <c r="P171" s="76">
        <v>43</v>
      </c>
      <c r="Q171" s="76">
        <v>18</v>
      </c>
      <c r="R171" s="76">
        <v>2</v>
      </c>
      <c r="S171" s="76">
        <v>6</v>
      </c>
      <c r="T171" s="76">
        <v>8</v>
      </c>
      <c r="U171" s="76">
        <v>7</v>
      </c>
      <c r="V171" s="92">
        <v>0.43243243243243246</v>
      </c>
      <c r="W171" s="92">
        <v>0.7142857142857143</v>
      </c>
      <c r="X171" s="92">
        <v>0.45454545454545453</v>
      </c>
      <c r="Y171" s="92">
        <v>0.36842105263157893</v>
      </c>
      <c r="Z171" s="93">
        <v>12.620000000000001</v>
      </c>
      <c r="AA171" s="100" t="str">
        <f t="shared" si="373"/>
        <v>REG</v>
      </c>
    </row>
    <row r="172" spans="1:27" ht="40" customHeight="1" x14ac:dyDescent="0.4">
      <c r="A172" s="96" t="s">
        <v>38</v>
      </c>
      <c r="B172" s="96">
        <v>8</v>
      </c>
      <c r="C172" s="96">
        <f t="shared" si="372"/>
        <v>12</v>
      </c>
      <c r="D172" s="94" t="s">
        <v>22</v>
      </c>
      <c r="E172" s="94"/>
      <c r="F172" s="94"/>
      <c r="G172" s="94"/>
      <c r="H172" s="94"/>
      <c r="I172" s="94"/>
      <c r="J172" s="94"/>
      <c r="K172" s="94"/>
      <c r="L172" s="94"/>
      <c r="M172" s="94"/>
      <c r="N172" s="94"/>
      <c r="O172" s="94">
        <v>61</v>
      </c>
      <c r="P172" s="94"/>
      <c r="Q172" s="94"/>
      <c r="R172" s="94"/>
      <c r="S172" s="94"/>
      <c r="T172" s="94"/>
      <c r="U172" s="94"/>
      <c r="V172" s="94"/>
      <c r="W172" s="94"/>
      <c r="X172" s="94"/>
      <c r="Y172" s="94"/>
      <c r="Z172" s="94"/>
      <c r="AA172" s="96" t="str">
        <f t="shared" si="373"/>
        <v>REG</v>
      </c>
    </row>
    <row r="173" spans="1:27" ht="40" customHeight="1" x14ac:dyDescent="0.4">
      <c r="A173" s="96" t="str">
        <f>A174</f>
        <v>LIGHTNING 2</v>
      </c>
      <c r="B173" s="96">
        <v>8</v>
      </c>
      <c r="C173" s="96">
        <f>C166+1</f>
        <v>13</v>
      </c>
      <c r="D173" s="72" t="s">
        <v>40</v>
      </c>
      <c r="E173" s="77">
        <v>5</v>
      </c>
      <c r="F173" s="77">
        <v>16</v>
      </c>
      <c r="G173" s="77">
        <v>1</v>
      </c>
      <c r="H173" s="77">
        <v>4</v>
      </c>
      <c r="I173" s="77">
        <v>6</v>
      </c>
      <c r="J173" s="77">
        <v>20</v>
      </c>
      <c r="K173" s="77">
        <v>4</v>
      </c>
      <c r="L173" s="77">
        <v>5</v>
      </c>
      <c r="M173" s="77">
        <v>5</v>
      </c>
      <c r="N173" s="77">
        <v>8</v>
      </c>
      <c r="O173" s="77">
        <v>17</v>
      </c>
      <c r="P173" s="77">
        <v>13</v>
      </c>
      <c r="Q173" s="77">
        <v>3</v>
      </c>
      <c r="R173" s="77">
        <v>0</v>
      </c>
      <c r="S173" s="77">
        <v>0</v>
      </c>
      <c r="T173" s="77">
        <v>7</v>
      </c>
      <c r="U173" s="77">
        <v>2</v>
      </c>
      <c r="V173" s="78">
        <v>0.3</v>
      </c>
      <c r="W173" s="78">
        <v>0.8</v>
      </c>
      <c r="X173" s="78">
        <v>0.3125</v>
      </c>
      <c r="Y173" s="78">
        <v>0.25</v>
      </c>
      <c r="Z173" s="79">
        <v>5.1999999999999975</v>
      </c>
      <c r="AA173" s="98" t="s">
        <v>33</v>
      </c>
    </row>
    <row r="174" spans="1:27" ht="40" customHeight="1" x14ac:dyDescent="0.4">
      <c r="A174" s="96" t="str">
        <f>D179</f>
        <v>LIGHTNING 2</v>
      </c>
      <c r="B174" s="96">
        <v>8</v>
      </c>
      <c r="C174" s="96">
        <f t="shared" ref="C174:C179" si="375">C173</f>
        <v>13</v>
      </c>
      <c r="D174" s="72" t="s">
        <v>41</v>
      </c>
      <c r="E174" s="80">
        <v>4</v>
      </c>
      <c r="F174" s="80">
        <v>8</v>
      </c>
      <c r="G174" s="80">
        <v>2</v>
      </c>
      <c r="H174" s="80">
        <v>6</v>
      </c>
      <c r="I174" s="80">
        <v>6</v>
      </c>
      <c r="J174" s="80">
        <v>14</v>
      </c>
      <c r="K174" s="80">
        <v>0</v>
      </c>
      <c r="L174" s="80">
        <v>0</v>
      </c>
      <c r="M174" s="80">
        <v>0</v>
      </c>
      <c r="N174" s="80">
        <v>5</v>
      </c>
      <c r="O174" s="80">
        <v>14</v>
      </c>
      <c r="P174" s="80">
        <v>5</v>
      </c>
      <c r="Q174" s="80">
        <v>1</v>
      </c>
      <c r="R174" s="80">
        <v>0</v>
      </c>
      <c r="S174" s="80">
        <v>0</v>
      </c>
      <c r="T174" s="80">
        <v>0</v>
      </c>
      <c r="U174" s="80">
        <v>1</v>
      </c>
      <c r="V174" s="81">
        <v>0.42857142857142855</v>
      </c>
      <c r="W174" s="81">
        <v>0</v>
      </c>
      <c r="X174" s="81">
        <v>0.5</v>
      </c>
      <c r="Y174" s="81">
        <v>0.33333333333333331</v>
      </c>
      <c r="Z174" s="82">
        <v>8.3999999999999986</v>
      </c>
      <c r="AA174" s="98" t="str">
        <f>AA173</f>
        <v>REG</v>
      </c>
    </row>
    <row r="175" spans="1:27" ht="40" customHeight="1" x14ac:dyDescent="0.4">
      <c r="A175" s="96" t="str">
        <f>A174</f>
        <v>LIGHTNING 2</v>
      </c>
      <c r="B175" s="96">
        <v>8</v>
      </c>
      <c r="C175" s="96">
        <f t="shared" si="375"/>
        <v>13</v>
      </c>
      <c r="D175" s="72" t="s">
        <v>42</v>
      </c>
      <c r="E175" s="83">
        <v>8</v>
      </c>
      <c r="F175" s="83">
        <v>16</v>
      </c>
      <c r="G175" s="83">
        <v>1</v>
      </c>
      <c r="H175" s="83">
        <v>2</v>
      </c>
      <c r="I175" s="83">
        <v>9</v>
      </c>
      <c r="J175" s="83">
        <v>18</v>
      </c>
      <c r="K175" s="83">
        <v>4</v>
      </c>
      <c r="L175" s="83">
        <v>5</v>
      </c>
      <c r="M175" s="83">
        <v>3</v>
      </c>
      <c r="N175" s="83">
        <v>4</v>
      </c>
      <c r="O175" s="83">
        <v>23</v>
      </c>
      <c r="P175" s="83">
        <v>7</v>
      </c>
      <c r="Q175" s="83">
        <v>2</v>
      </c>
      <c r="R175" s="83">
        <v>0</v>
      </c>
      <c r="S175" s="83">
        <v>0</v>
      </c>
      <c r="T175" s="83">
        <v>1</v>
      </c>
      <c r="U175" s="83">
        <v>1</v>
      </c>
      <c r="V175" s="84">
        <v>0.5</v>
      </c>
      <c r="W175" s="84">
        <v>0.8</v>
      </c>
      <c r="X175" s="84">
        <v>0.5</v>
      </c>
      <c r="Y175" s="84">
        <v>0.5</v>
      </c>
      <c r="Z175" s="85">
        <v>16.900000000000002</v>
      </c>
      <c r="AA175" s="98" t="str">
        <f t="shared" ref="AA175:AA179" si="376">AA174</f>
        <v>REG</v>
      </c>
    </row>
    <row r="176" spans="1:27" ht="40" customHeight="1" x14ac:dyDescent="0.4">
      <c r="A176" s="96" t="str">
        <f t="shared" ref="A176:A177" si="377">A175</f>
        <v>LIGHTNING 2</v>
      </c>
      <c r="B176" s="96">
        <v>8</v>
      </c>
      <c r="C176" s="96">
        <f t="shared" si="375"/>
        <v>13</v>
      </c>
      <c r="D176" s="72" t="s">
        <v>43</v>
      </c>
      <c r="E176" s="86">
        <v>2</v>
      </c>
      <c r="F176" s="86">
        <v>6</v>
      </c>
      <c r="G176" s="86">
        <v>0</v>
      </c>
      <c r="H176" s="86">
        <v>0</v>
      </c>
      <c r="I176" s="86">
        <v>2</v>
      </c>
      <c r="J176" s="86">
        <v>6</v>
      </c>
      <c r="K176" s="86">
        <v>0</v>
      </c>
      <c r="L176" s="86">
        <v>0</v>
      </c>
      <c r="M176" s="86">
        <v>3</v>
      </c>
      <c r="N176" s="86">
        <v>10</v>
      </c>
      <c r="O176" s="86">
        <v>4</v>
      </c>
      <c r="P176" s="86">
        <v>13</v>
      </c>
      <c r="Q176" s="86">
        <v>4</v>
      </c>
      <c r="R176" s="86">
        <v>1</v>
      </c>
      <c r="S176" s="86">
        <v>0</v>
      </c>
      <c r="T176" s="86">
        <v>1</v>
      </c>
      <c r="U176" s="86">
        <v>5</v>
      </c>
      <c r="V176" s="87">
        <v>0.33333333333333331</v>
      </c>
      <c r="W176" s="87">
        <v>0</v>
      </c>
      <c r="X176" s="87">
        <v>0.33333333333333331</v>
      </c>
      <c r="Y176" s="87">
        <v>0</v>
      </c>
      <c r="Z176" s="88">
        <v>6.1999999999999993</v>
      </c>
      <c r="AA176" s="98" t="str">
        <f t="shared" si="376"/>
        <v>REG</v>
      </c>
    </row>
    <row r="177" spans="1:27" ht="40" customHeight="1" x14ac:dyDescent="0.4">
      <c r="A177" s="96" t="str">
        <f t="shared" si="377"/>
        <v>LIGHTNING 2</v>
      </c>
      <c r="B177" s="96">
        <v>8</v>
      </c>
      <c r="C177" s="96">
        <f t="shared" si="375"/>
        <v>13</v>
      </c>
      <c r="D177" s="72" t="s">
        <v>44</v>
      </c>
      <c r="E177" s="89">
        <v>0</v>
      </c>
      <c r="F177" s="89">
        <v>0</v>
      </c>
      <c r="G177" s="89">
        <v>0</v>
      </c>
      <c r="H177" s="89">
        <v>0</v>
      </c>
      <c r="I177" s="89">
        <v>0</v>
      </c>
      <c r="J177" s="89">
        <v>0</v>
      </c>
      <c r="K177" s="89">
        <v>0</v>
      </c>
      <c r="L177" s="89">
        <v>0</v>
      </c>
      <c r="M177" s="89">
        <v>0</v>
      </c>
      <c r="N177" s="89">
        <v>8</v>
      </c>
      <c r="O177" s="89">
        <v>0</v>
      </c>
      <c r="P177" s="89">
        <v>8</v>
      </c>
      <c r="Q177" s="89">
        <v>0</v>
      </c>
      <c r="R177" s="89">
        <v>0</v>
      </c>
      <c r="S177" s="89">
        <v>0</v>
      </c>
      <c r="T177" s="89">
        <v>1</v>
      </c>
      <c r="U177" s="89">
        <v>1</v>
      </c>
      <c r="V177" s="90">
        <v>0</v>
      </c>
      <c r="W177" s="90">
        <v>0</v>
      </c>
      <c r="X177" s="90">
        <v>0</v>
      </c>
      <c r="Y177" s="90">
        <v>0</v>
      </c>
      <c r="Z177" s="91">
        <v>1</v>
      </c>
      <c r="AA177" s="98" t="str">
        <f t="shared" si="376"/>
        <v>REG</v>
      </c>
    </row>
    <row r="178" spans="1:27" ht="40" customHeight="1" x14ac:dyDescent="0.4">
      <c r="A178" s="96" t="str">
        <f>A177</f>
        <v>LIGHTNING 2</v>
      </c>
      <c r="B178" s="96">
        <v>8</v>
      </c>
      <c r="C178" s="96">
        <f t="shared" si="375"/>
        <v>13</v>
      </c>
      <c r="D178" s="72" t="s">
        <v>31</v>
      </c>
      <c r="E178" s="76">
        <v>19</v>
      </c>
      <c r="F178" s="76">
        <v>46</v>
      </c>
      <c r="G178" s="76">
        <v>4</v>
      </c>
      <c r="H178" s="76">
        <v>12</v>
      </c>
      <c r="I178" s="76">
        <v>23</v>
      </c>
      <c r="J178" s="76">
        <v>58</v>
      </c>
      <c r="K178" s="76">
        <v>8</v>
      </c>
      <c r="L178" s="76">
        <v>10</v>
      </c>
      <c r="M178" s="76">
        <v>11</v>
      </c>
      <c r="N178" s="76">
        <v>35</v>
      </c>
      <c r="O178" s="76">
        <v>60</v>
      </c>
      <c r="P178" s="76">
        <v>46</v>
      </c>
      <c r="Q178" s="76">
        <v>10</v>
      </c>
      <c r="R178" s="76">
        <v>1</v>
      </c>
      <c r="S178" s="76">
        <v>0</v>
      </c>
      <c r="T178" s="76">
        <v>10</v>
      </c>
      <c r="U178" s="76">
        <v>10</v>
      </c>
      <c r="V178" s="92">
        <v>0.39655172413793105</v>
      </c>
      <c r="W178" s="92">
        <v>0.8</v>
      </c>
      <c r="X178" s="92">
        <v>0.41304347826086957</v>
      </c>
      <c r="Y178" s="92">
        <v>0.33333333333333331</v>
      </c>
      <c r="Z178" s="93">
        <v>7.5400000000000009</v>
      </c>
      <c r="AA178" s="100" t="str">
        <f t="shared" si="376"/>
        <v>REG</v>
      </c>
    </row>
    <row r="179" spans="1:27" ht="40" customHeight="1" x14ac:dyDescent="0.4">
      <c r="A179" s="96" t="s">
        <v>38</v>
      </c>
      <c r="B179" s="96">
        <v>8</v>
      </c>
      <c r="C179" s="96">
        <f t="shared" si="375"/>
        <v>13</v>
      </c>
      <c r="D179" s="94" t="s">
        <v>36</v>
      </c>
      <c r="E179" s="94"/>
      <c r="F179" s="94"/>
      <c r="G179" s="94"/>
      <c r="H179" s="94"/>
      <c r="I179" s="94"/>
      <c r="J179" s="94"/>
      <c r="K179" s="94"/>
      <c r="L179" s="94"/>
      <c r="M179" s="94"/>
      <c r="N179" s="94"/>
      <c r="O179" s="94">
        <v>73</v>
      </c>
      <c r="P179" s="94"/>
      <c r="Q179" s="94"/>
      <c r="R179" s="94"/>
      <c r="S179" s="94"/>
      <c r="T179" s="94"/>
      <c r="U179" s="94"/>
      <c r="V179" s="94"/>
      <c r="W179" s="94"/>
      <c r="X179" s="94"/>
      <c r="Y179" s="94"/>
      <c r="Z179" s="94"/>
      <c r="AA179" s="96" t="str">
        <f t="shared" si="376"/>
        <v>REG</v>
      </c>
    </row>
    <row r="180" spans="1:27" ht="40" customHeight="1" x14ac:dyDescent="0.4">
      <c r="A180" s="96" t="str">
        <f>A181</f>
        <v>LIGHTNING 3</v>
      </c>
      <c r="B180" s="96">
        <v>8</v>
      </c>
      <c r="C180" s="96">
        <f>C173+1</f>
        <v>14</v>
      </c>
      <c r="D180" s="72" t="s">
        <v>40</v>
      </c>
      <c r="E180" s="77">
        <v>7</v>
      </c>
      <c r="F180" s="77">
        <v>15</v>
      </c>
      <c r="G180" s="77">
        <v>0</v>
      </c>
      <c r="H180" s="77">
        <v>4</v>
      </c>
      <c r="I180" s="77">
        <v>7</v>
      </c>
      <c r="J180" s="77">
        <v>19</v>
      </c>
      <c r="K180" s="77">
        <v>0</v>
      </c>
      <c r="L180" s="77">
        <v>0</v>
      </c>
      <c r="M180" s="77">
        <v>3</v>
      </c>
      <c r="N180" s="77">
        <v>6</v>
      </c>
      <c r="O180" s="77">
        <v>14</v>
      </c>
      <c r="P180" s="77">
        <v>9</v>
      </c>
      <c r="Q180" s="77">
        <v>6</v>
      </c>
      <c r="R180" s="77">
        <v>0</v>
      </c>
      <c r="S180" s="77">
        <v>1</v>
      </c>
      <c r="T180" s="77">
        <v>2</v>
      </c>
      <c r="U180" s="77">
        <v>0</v>
      </c>
      <c r="V180" s="78">
        <v>0.36842105263157893</v>
      </c>
      <c r="W180" s="78">
        <v>0</v>
      </c>
      <c r="X180" s="78">
        <v>0.46666666666666667</v>
      </c>
      <c r="Y180" s="78">
        <v>0</v>
      </c>
      <c r="Z180" s="79">
        <v>10.600000000000001</v>
      </c>
      <c r="AA180" s="98" t="s">
        <v>33</v>
      </c>
    </row>
    <row r="181" spans="1:27" ht="40" customHeight="1" x14ac:dyDescent="0.4">
      <c r="A181" s="96" t="str">
        <f>D186</f>
        <v>LIGHTNING 3</v>
      </c>
      <c r="B181" s="96">
        <v>8</v>
      </c>
      <c r="C181" s="96">
        <f t="shared" ref="C181:C190" si="378">C180</f>
        <v>14</v>
      </c>
      <c r="D181" s="72" t="s">
        <v>41</v>
      </c>
      <c r="E181" s="80">
        <v>5</v>
      </c>
      <c r="F181" s="80">
        <v>8</v>
      </c>
      <c r="G181" s="80">
        <v>0</v>
      </c>
      <c r="H181" s="80">
        <v>2</v>
      </c>
      <c r="I181" s="80">
        <v>5</v>
      </c>
      <c r="J181" s="80">
        <v>10</v>
      </c>
      <c r="K181" s="80">
        <v>0</v>
      </c>
      <c r="L181" s="80">
        <v>0</v>
      </c>
      <c r="M181" s="80">
        <v>0</v>
      </c>
      <c r="N181" s="80">
        <v>8</v>
      </c>
      <c r="O181" s="80">
        <v>10</v>
      </c>
      <c r="P181" s="80">
        <v>8</v>
      </c>
      <c r="Q181" s="80">
        <v>4</v>
      </c>
      <c r="R181" s="80">
        <v>1</v>
      </c>
      <c r="S181" s="80">
        <v>0</v>
      </c>
      <c r="T181" s="80">
        <v>3</v>
      </c>
      <c r="U181" s="80">
        <v>2</v>
      </c>
      <c r="V181" s="81">
        <v>0.5</v>
      </c>
      <c r="W181" s="81">
        <v>0</v>
      </c>
      <c r="X181" s="81">
        <v>0.625</v>
      </c>
      <c r="Y181" s="81">
        <v>0</v>
      </c>
      <c r="Z181" s="82">
        <v>7.0999999999999979</v>
      </c>
      <c r="AA181" s="98" t="str">
        <f>AA180</f>
        <v>REG</v>
      </c>
    </row>
    <row r="182" spans="1:27" ht="40" customHeight="1" x14ac:dyDescent="0.4">
      <c r="A182" s="96" t="str">
        <f>A181</f>
        <v>LIGHTNING 3</v>
      </c>
      <c r="B182" s="96">
        <v>8</v>
      </c>
      <c r="C182" s="96">
        <f t="shared" si="378"/>
        <v>14</v>
      </c>
      <c r="D182" s="72" t="s">
        <v>42</v>
      </c>
      <c r="E182" s="83">
        <v>20</v>
      </c>
      <c r="F182" s="83">
        <v>26</v>
      </c>
      <c r="G182" s="83">
        <v>1</v>
      </c>
      <c r="H182" s="83">
        <v>9</v>
      </c>
      <c r="I182" s="83">
        <v>21</v>
      </c>
      <c r="J182" s="83">
        <v>35</v>
      </c>
      <c r="K182" s="83">
        <v>0</v>
      </c>
      <c r="L182" s="83">
        <v>0</v>
      </c>
      <c r="M182" s="83">
        <v>4</v>
      </c>
      <c r="N182" s="83">
        <v>1</v>
      </c>
      <c r="O182" s="83">
        <v>43</v>
      </c>
      <c r="P182" s="83">
        <v>5</v>
      </c>
      <c r="Q182" s="83">
        <v>1</v>
      </c>
      <c r="R182" s="83">
        <v>1</v>
      </c>
      <c r="S182" s="83">
        <v>0</v>
      </c>
      <c r="T182" s="83">
        <v>0</v>
      </c>
      <c r="U182" s="83">
        <v>0</v>
      </c>
      <c r="V182" s="84">
        <v>0.6</v>
      </c>
      <c r="W182" s="84">
        <v>0</v>
      </c>
      <c r="X182" s="84">
        <v>0.76923076923076927</v>
      </c>
      <c r="Y182" s="84">
        <v>0.1111111111111111</v>
      </c>
      <c r="Z182" s="85">
        <v>31.4</v>
      </c>
      <c r="AA182" s="98" t="str">
        <f t="shared" ref="AA182:AA186" si="379">AA181</f>
        <v>REG</v>
      </c>
    </row>
    <row r="183" spans="1:27" ht="40" customHeight="1" x14ac:dyDescent="0.4">
      <c r="A183" s="96" t="str">
        <f t="shared" ref="A183:A184" si="380">A182</f>
        <v>LIGHTNING 3</v>
      </c>
      <c r="B183" s="96">
        <v>8</v>
      </c>
      <c r="C183" s="96">
        <f t="shared" si="378"/>
        <v>14</v>
      </c>
      <c r="D183" s="72" t="s">
        <v>43</v>
      </c>
      <c r="E183" s="86">
        <v>0</v>
      </c>
      <c r="F183" s="86">
        <v>2</v>
      </c>
      <c r="G183" s="86">
        <v>0</v>
      </c>
      <c r="H183" s="86">
        <v>0</v>
      </c>
      <c r="I183" s="86">
        <v>0</v>
      </c>
      <c r="J183" s="86">
        <v>2</v>
      </c>
      <c r="K183" s="86">
        <v>2</v>
      </c>
      <c r="L183" s="86">
        <v>2</v>
      </c>
      <c r="M183" s="86">
        <v>3</v>
      </c>
      <c r="N183" s="86">
        <v>9</v>
      </c>
      <c r="O183" s="86">
        <v>2</v>
      </c>
      <c r="P183" s="86">
        <v>12</v>
      </c>
      <c r="Q183" s="86">
        <v>7</v>
      </c>
      <c r="R183" s="86">
        <v>0</v>
      </c>
      <c r="S183" s="86">
        <v>1</v>
      </c>
      <c r="T183" s="86">
        <v>5</v>
      </c>
      <c r="U183" s="86">
        <v>1</v>
      </c>
      <c r="V183" s="87">
        <v>0</v>
      </c>
      <c r="W183" s="87">
        <v>1</v>
      </c>
      <c r="X183" s="87">
        <v>0</v>
      </c>
      <c r="Y183" s="87">
        <v>0</v>
      </c>
      <c r="Z183" s="88">
        <v>5.8999999999999986</v>
      </c>
      <c r="AA183" s="98" t="str">
        <f t="shared" si="379"/>
        <v>REG</v>
      </c>
    </row>
    <row r="184" spans="1:27" ht="40" customHeight="1" x14ac:dyDescent="0.4">
      <c r="A184" s="96" t="str">
        <f t="shared" si="380"/>
        <v>LIGHTNING 3</v>
      </c>
      <c r="B184" s="96">
        <v>8</v>
      </c>
      <c r="C184" s="96">
        <f t="shared" si="378"/>
        <v>14</v>
      </c>
      <c r="D184" s="72" t="s">
        <v>44</v>
      </c>
      <c r="E184" s="89">
        <v>2</v>
      </c>
      <c r="F184" s="89">
        <v>6</v>
      </c>
      <c r="G184" s="89">
        <v>0</v>
      </c>
      <c r="H184" s="89">
        <v>2</v>
      </c>
      <c r="I184" s="89">
        <v>2</v>
      </c>
      <c r="J184" s="89">
        <v>8</v>
      </c>
      <c r="K184" s="89">
        <v>0</v>
      </c>
      <c r="L184" s="89">
        <v>0</v>
      </c>
      <c r="M184" s="89">
        <v>3</v>
      </c>
      <c r="N184" s="89">
        <v>7</v>
      </c>
      <c r="O184" s="89">
        <v>4</v>
      </c>
      <c r="P184" s="89">
        <v>10</v>
      </c>
      <c r="Q184" s="89">
        <v>1</v>
      </c>
      <c r="R184" s="89">
        <v>0</v>
      </c>
      <c r="S184" s="89">
        <v>1</v>
      </c>
      <c r="T184" s="89">
        <v>3</v>
      </c>
      <c r="U184" s="89">
        <v>0</v>
      </c>
      <c r="V184" s="90">
        <v>0.25</v>
      </c>
      <c r="W184" s="90">
        <v>0</v>
      </c>
      <c r="X184" s="90">
        <v>0.33333333333333331</v>
      </c>
      <c r="Y184" s="90">
        <v>0</v>
      </c>
      <c r="Z184" s="91">
        <v>2.1000000000000005</v>
      </c>
      <c r="AA184" s="98" t="str">
        <f t="shared" si="379"/>
        <v>REG</v>
      </c>
    </row>
    <row r="185" spans="1:27" ht="40" customHeight="1" x14ac:dyDescent="0.4">
      <c r="A185" s="96" t="str">
        <f>A184</f>
        <v>LIGHTNING 3</v>
      </c>
      <c r="B185" s="96">
        <v>8</v>
      </c>
      <c r="C185" s="96">
        <f t="shared" si="378"/>
        <v>14</v>
      </c>
      <c r="D185" s="72" t="s">
        <v>31</v>
      </c>
      <c r="E185" s="76">
        <v>34</v>
      </c>
      <c r="F185" s="76">
        <v>57</v>
      </c>
      <c r="G185" s="76">
        <v>1</v>
      </c>
      <c r="H185" s="76">
        <v>17</v>
      </c>
      <c r="I185" s="76">
        <v>35</v>
      </c>
      <c r="J185" s="76">
        <v>74</v>
      </c>
      <c r="K185" s="76">
        <v>2</v>
      </c>
      <c r="L185" s="76">
        <v>2</v>
      </c>
      <c r="M185" s="76">
        <v>13</v>
      </c>
      <c r="N185" s="76">
        <v>31</v>
      </c>
      <c r="O185" s="76">
        <v>73</v>
      </c>
      <c r="P185" s="76">
        <v>44</v>
      </c>
      <c r="Q185" s="76">
        <v>19</v>
      </c>
      <c r="R185" s="76">
        <v>2</v>
      </c>
      <c r="S185" s="76">
        <v>3</v>
      </c>
      <c r="T185" s="76">
        <v>13</v>
      </c>
      <c r="U185" s="76">
        <v>3</v>
      </c>
      <c r="V185" s="92">
        <v>0.47297297297297297</v>
      </c>
      <c r="W185" s="92">
        <v>1</v>
      </c>
      <c r="X185" s="92">
        <v>0.59649122807017541</v>
      </c>
      <c r="Y185" s="92">
        <v>5.8823529411764705E-2</v>
      </c>
      <c r="Z185" s="93">
        <v>11.419999999999998</v>
      </c>
      <c r="AA185" s="100" t="str">
        <f t="shared" si="379"/>
        <v>REG</v>
      </c>
    </row>
    <row r="186" spans="1:27" ht="40" customHeight="1" x14ac:dyDescent="0.4">
      <c r="A186" s="96" t="s">
        <v>38</v>
      </c>
      <c r="B186" s="96">
        <v>8</v>
      </c>
      <c r="C186" s="96">
        <f t="shared" si="378"/>
        <v>14</v>
      </c>
      <c r="D186" s="94" t="s">
        <v>27</v>
      </c>
      <c r="E186" s="94"/>
      <c r="F186" s="94"/>
      <c r="G186" s="94"/>
      <c r="H186" s="94"/>
      <c r="I186" s="94"/>
      <c r="J186" s="94"/>
      <c r="K186" s="94"/>
      <c r="L186" s="94"/>
      <c r="M186" s="94"/>
      <c r="N186" s="94"/>
      <c r="O186" s="94">
        <v>69</v>
      </c>
      <c r="P186" s="94"/>
      <c r="Q186" s="94"/>
      <c r="R186" s="94"/>
      <c r="S186" s="94"/>
      <c r="T186" s="94"/>
      <c r="U186" s="94"/>
      <c r="V186" s="94"/>
      <c r="W186" s="94"/>
      <c r="X186" s="94"/>
      <c r="Y186" s="94"/>
      <c r="Z186" s="94"/>
      <c r="AA186" s="96" t="str">
        <f t="shared" si="379"/>
        <v>REG</v>
      </c>
    </row>
    <row r="187" spans="1:27" ht="40" customHeight="1" x14ac:dyDescent="0.2">
      <c r="A187" s="96" t="str">
        <f>D193</f>
        <v>MAGIC 1</v>
      </c>
      <c r="B187" s="96">
        <v>6</v>
      </c>
      <c r="C187" s="96">
        <v>1</v>
      </c>
      <c r="D187" s="128" t="s">
        <v>40</v>
      </c>
      <c r="E187" s="143">
        <v>13</v>
      </c>
      <c r="F187" s="143">
        <v>18</v>
      </c>
      <c r="G187" s="143">
        <v>3</v>
      </c>
      <c r="H187" s="143">
        <v>5</v>
      </c>
      <c r="I187" s="143">
        <v>16</v>
      </c>
      <c r="J187" s="143">
        <v>23</v>
      </c>
      <c r="K187" s="143">
        <v>4</v>
      </c>
      <c r="L187" s="143">
        <v>5</v>
      </c>
      <c r="M187" s="143">
        <v>6</v>
      </c>
      <c r="N187" s="143">
        <v>8</v>
      </c>
      <c r="O187" s="143">
        <v>39</v>
      </c>
      <c r="P187" s="143">
        <v>14</v>
      </c>
      <c r="Q187" s="143">
        <v>8</v>
      </c>
      <c r="R187" s="143">
        <v>0</v>
      </c>
      <c r="S187" s="143">
        <v>0</v>
      </c>
      <c r="T187" s="143">
        <v>4</v>
      </c>
      <c r="U187" s="143">
        <v>2</v>
      </c>
      <c r="V187" s="144">
        <v>0.69565217391304346</v>
      </c>
      <c r="W187" s="144">
        <v>0.8</v>
      </c>
      <c r="X187" s="144">
        <v>0.72222222222222221</v>
      </c>
      <c r="Y187" s="144">
        <v>0.6</v>
      </c>
      <c r="Z187" s="145">
        <v>36.300000000000004</v>
      </c>
      <c r="AA187" s="98" t="s">
        <v>33</v>
      </c>
    </row>
    <row r="188" spans="1:27" ht="40" customHeight="1" x14ac:dyDescent="0.2">
      <c r="A188" s="96" t="str">
        <f>A187</f>
        <v>MAGIC 1</v>
      </c>
      <c r="B188" s="96">
        <v>6</v>
      </c>
      <c r="C188" s="96">
        <f>C187</f>
        <v>1</v>
      </c>
      <c r="D188" s="128" t="s">
        <v>48</v>
      </c>
      <c r="E188" s="146">
        <v>3</v>
      </c>
      <c r="F188" s="146">
        <v>6</v>
      </c>
      <c r="G188" s="146">
        <v>1</v>
      </c>
      <c r="H188" s="146">
        <v>5</v>
      </c>
      <c r="I188" s="146">
        <v>4</v>
      </c>
      <c r="J188" s="146">
        <v>11</v>
      </c>
      <c r="K188" s="146">
        <v>0</v>
      </c>
      <c r="L188" s="146">
        <v>0</v>
      </c>
      <c r="M188" s="146">
        <v>0</v>
      </c>
      <c r="N188" s="146">
        <v>0</v>
      </c>
      <c r="O188" s="146">
        <v>9</v>
      </c>
      <c r="P188" s="146">
        <v>0</v>
      </c>
      <c r="Q188" s="146">
        <v>1</v>
      </c>
      <c r="R188" s="146">
        <v>0</v>
      </c>
      <c r="S188" s="146">
        <v>0</v>
      </c>
      <c r="T188" s="146">
        <v>1</v>
      </c>
      <c r="U188" s="146">
        <v>0</v>
      </c>
      <c r="V188" s="147">
        <v>0.36363636363636365</v>
      </c>
      <c r="W188" s="147">
        <v>0</v>
      </c>
      <c r="X188" s="147">
        <v>0.5</v>
      </c>
      <c r="Y188" s="147">
        <v>0.2</v>
      </c>
      <c r="Z188" s="148">
        <v>2.6000000000000005</v>
      </c>
      <c r="AA188" s="98" t="str">
        <f>AA187</f>
        <v>REG</v>
      </c>
    </row>
    <row r="189" spans="1:27" ht="40" customHeight="1" x14ac:dyDescent="0.2">
      <c r="A189" s="96" t="str">
        <f>A188</f>
        <v>MAGIC 1</v>
      </c>
      <c r="B189" s="96">
        <v>6</v>
      </c>
      <c r="C189" s="96">
        <f t="shared" si="378"/>
        <v>1</v>
      </c>
      <c r="D189" s="128" t="s">
        <v>47</v>
      </c>
      <c r="E189" s="149">
        <v>3</v>
      </c>
      <c r="F189" s="149">
        <v>5</v>
      </c>
      <c r="G189" s="149">
        <v>0</v>
      </c>
      <c r="H189" s="149">
        <v>2</v>
      </c>
      <c r="I189" s="149">
        <v>3</v>
      </c>
      <c r="J189" s="149">
        <v>7</v>
      </c>
      <c r="K189" s="149">
        <v>0</v>
      </c>
      <c r="L189" s="149">
        <v>0</v>
      </c>
      <c r="M189" s="149">
        <v>1</v>
      </c>
      <c r="N189" s="149">
        <v>5</v>
      </c>
      <c r="O189" s="149">
        <v>6</v>
      </c>
      <c r="P189" s="149">
        <v>6</v>
      </c>
      <c r="Q189" s="149">
        <v>8</v>
      </c>
      <c r="R189" s="149">
        <v>0</v>
      </c>
      <c r="S189" s="149">
        <v>1</v>
      </c>
      <c r="T189" s="149">
        <v>0</v>
      </c>
      <c r="U189" s="149">
        <v>1</v>
      </c>
      <c r="V189" s="150">
        <v>0.42857142857142855</v>
      </c>
      <c r="W189" s="150">
        <v>0</v>
      </c>
      <c r="X189" s="150">
        <v>0.6</v>
      </c>
      <c r="Y189" s="150">
        <v>0</v>
      </c>
      <c r="Z189" s="151">
        <v>10.700000000000001</v>
      </c>
      <c r="AA189" s="98" t="str">
        <f t="shared" ref="AA189:AA190" si="381">AA188</f>
        <v>REG</v>
      </c>
    </row>
    <row r="190" spans="1:27" ht="40" customHeight="1" x14ac:dyDescent="0.2">
      <c r="A190" s="96" t="str">
        <f t="shared" ref="A190" si="382">A189</f>
        <v>MAGIC 1</v>
      </c>
      <c r="B190" s="96">
        <v>6</v>
      </c>
      <c r="C190" s="96">
        <f t="shared" si="378"/>
        <v>1</v>
      </c>
      <c r="D190" s="128" t="s">
        <v>42</v>
      </c>
      <c r="E190" s="152">
        <v>10</v>
      </c>
      <c r="F190" s="152">
        <v>19</v>
      </c>
      <c r="G190" s="152">
        <v>1</v>
      </c>
      <c r="H190" s="152">
        <v>7</v>
      </c>
      <c r="I190" s="152">
        <v>11</v>
      </c>
      <c r="J190" s="152">
        <v>26</v>
      </c>
      <c r="K190" s="152">
        <v>0</v>
      </c>
      <c r="L190" s="152">
        <v>0</v>
      </c>
      <c r="M190" s="152">
        <v>0</v>
      </c>
      <c r="N190" s="152">
        <v>7</v>
      </c>
      <c r="O190" s="152">
        <v>23</v>
      </c>
      <c r="P190" s="152">
        <v>7</v>
      </c>
      <c r="Q190" s="152">
        <v>5</v>
      </c>
      <c r="R190" s="152">
        <v>2</v>
      </c>
      <c r="S190" s="152">
        <v>1</v>
      </c>
      <c r="T190" s="152">
        <v>2</v>
      </c>
      <c r="U190" s="152">
        <v>0</v>
      </c>
      <c r="V190" s="153">
        <v>0.42307692307692307</v>
      </c>
      <c r="W190" s="153">
        <v>0</v>
      </c>
      <c r="X190" s="153">
        <v>0.52631578947368418</v>
      </c>
      <c r="Y190" s="153">
        <v>0.14285714285714285</v>
      </c>
      <c r="Z190" s="154">
        <v>15.2</v>
      </c>
      <c r="AA190" s="98" t="str">
        <f t="shared" si="381"/>
        <v>REG</v>
      </c>
    </row>
    <row r="191" spans="1:27" ht="40" customHeight="1" x14ac:dyDescent="0.2">
      <c r="A191" s="96" t="str">
        <f>A190</f>
        <v>MAGIC 1</v>
      </c>
      <c r="B191" s="96">
        <f>B190</f>
        <v>6</v>
      </c>
      <c r="C191" s="96">
        <f>C190</f>
        <v>1</v>
      </c>
      <c r="D191" s="128" t="s">
        <v>43</v>
      </c>
      <c r="E191" s="155">
        <v>2</v>
      </c>
      <c r="F191" s="155">
        <v>3</v>
      </c>
      <c r="G191" s="155">
        <v>2</v>
      </c>
      <c r="H191" s="155">
        <v>3</v>
      </c>
      <c r="I191" s="155">
        <v>4</v>
      </c>
      <c r="J191" s="155">
        <v>6</v>
      </c>
      <c r="K191" s="155">
        <v>0</v>
      </c>
      <c r="L191" s="155">
        <v>0</v>
      </c>
      <c r="M191" s="155">
        <v>1</v>
      </c>
      <c r="N191" s="155">
        <v>10</v>
      </c>
      <c r="O191" s="155">
        <v>10</v>
      </c>
      <c r="P191" s="155">
        <v>11</v>
      </c>
      <c r="Q191" s="155">
        <v>3</v>
      </c>
      <c r="R191" s="155">
        <v>3</v>
      </c>
      <c r="S191" s="155">
        <v>2</v>
      </c>
      <c r="T191" s="155">
        <v>4</v>
      </c>
      <c r="U191" s="155">
        <v>0</v>
      </c>
      <c r="V191" s="156">
        <v>0.66666666666666663</v>
      </c>
      <c r="W191" s="156">
        <v>0</v>
      </c>
      <c r="X191" s="156">
        <v>0.66666666666666663</v>
      </c>
      <c r="Y191" s="156">
        <v>0.66666666666666663</v>
      </c>
      <c r="Z191" s="157">
        <v>13.299999999999997</v>
      </c>
      <c r="AA191" s="98" t="str">
        <f>AA190</f>
        <v>REG</v>
      </c>
    </row>
    <row r="192" spans="1:27" ht="40" customHeight="1" x14ac:dyDescent="0.2">
      <c r="A192" s="96" t="str">
        <f t="shared" ref="A192:B192" si="383">A191</f>
        <v>MAGIC 1</v>
      </c>
      <c r="B192" s="96">
        <f t="shared" si="383"/>
        <v>6</v>
      </c>
      <c r="C192" s="96">
        <f>C191</f>
        <v>1</v>
      </c>
      <c r="D192" s="128" t="s">
        <v>31</v>
      </c>
      <c r="E192" s="142">
        <v>31</v>
      </c>
      <c r="F192" s="142">
        <v>51</v>
      </c>
      <c r="G192" s="142">
        <v>7</v>
      </c>
      <c r="H192" s="142">
        <v>22</v>
      </c>
      <c r="I192" s="142">
        <v>38</v>
      </c>
      <c r="J192" s="142">
        <v>73</v>
      </c>
      <c r="K192" s="142">
        <v>4</v>
      </c>
      <c r="L192" s="142">
        <v>5</v>
      </c>
      <c r="M192" s="142">
        <v>8</v>
      </c>
      <c r="N192" s="142">
        <v>30</v>
      </c>
      <c r="O192" s="142">
        <v>87</v>
      </c>
      <c r="P192" s="142">
        <v>38</v>
      </c>
      <c r="Q192" s="142">
        <v>25</v>
      </c>
      <c r="R192" s="142">
        <v>5</v>
      </c>
      <c r="S192" s="142">
        <v>4</v>
      </c>
      <c r="T192" s="142">
        <v>11</v>
      </c>
      <c r="U192" s="142">
        <v>3</v>
      </c>
      <c r="V192" s="161">
        <v>0.52054794520547942</v>
      </c>
      <c r="W192" s="161">
        <v>0.8</v>
      </c>
      <c r="X192" s="161">
        <v>0.60784313725490191</v>
      </c>
      <c r="Y192" s="161">
        <v>0.31818181818181818</v>
      </c>
      <c r="Z192" s="162">
        <v>15.620000000000001</v>
      </c>
      <c r="AA192" s="100" t="str">
        <f>AA191</f>
        <v>REG</v>
      </c>
    </row>
    <row r="193" spans="1:27" ht="40" customHeight="1" x14ac:dyDescent="0.2">
      <c r="A193" s="96" t="s">
        <v>38</v>
      </c>
      <c r="B193" s="96">
        <f>B192</f>
        <v>6</v>
      </c>
      <c r="C193" s="96">
        <f>C192</f>
        <v>1</v>
      </c>
      <c r="D193" s="126" t="s">
        <v>35</v>
      </c>
      <c r="E193" s="163"/>
      <c r="F193" s="164"/>
      <c r="G193" s="163"/>
      <c r="H193" s="163"/>
      <c r="I193" s="163"/>
      <c r="J193" s="163"/>
      <c r="K193" s="163"/>
      <c r="L193" s="163"/>
      <c r="M193" s="163"/>
      <c r="N193" s="163"/>
      <c r="O193" s="163">
        <v>93</v>
      </c>
      <c r="P193" s="163"/>
      <c r="Q193" s="163"/>
      <c r="R193" s="163"/>
      <c r="S193" s="163"/>
      <c r="T193" s="163"/>
      <c r="U193" s="163"/>
      <c r="V193" s="163"/>
      <c r="W193" s="163"/>
      <c r="X193" s="163"/>
      <c r="Y193" s="163"/>
      <c r="Z193" s="163"/>
      <c r="AA193" s="98" t="str">
        <f>AA192</f>
        <v>REG</v>
      </c>
    </row>
    <row r="194" spans="1:27" ht="40" customHeight="1" x14ac:dyDescent="0.2">
      <c r="A194" s="96" t="str">
        <f>D200</f>
        <v>MAGIC 1</v>
      </c>
      <c r="B194" s="96">
        <v>6</v>
      </c>
      <c r="C194" s="96">
        <f>C187+1</f>
        <v>2</v>
      </c>
      <c r="D194" s="128" t="s">
        <v>40</v>
      </c>
      <c r="E194" s="143">
        <v>3</v>
      </c>
      <c r="F194" s="143">
        <v>6</v>
      </c>
      <c r="G194" s="143">
        <v>0</v>
      </c>
      <c r="H194" s="143">
        <v>4</v>
      </c>
      <c r="I194" s="143">
        <v>3</v>
      </c>
      <c r="J194" s="143">
        <v>10</v>
      </c>
      <c r="K194" s="143">
        <v>0</v>
      </c>
      <c r="L194" s="143">
        <v>0</v>
      </c>
      <c r="M194" s="143">
        <v>7</v>
      </c>
      <c r="N194" s="143">
        <v>2</v>
      </c>
      <c r="O194" s="143">
        <v>6</v>
      </c>
      <c r="P194" s="143">
        <v>9</v>
      </c>
      <c r="Q194" s="143">
        <v>6</v>
      </c>
      <c r="R194" s="143">
        <v>0</v>
      </c>
      <c r="S194" s="143">
        <v>0</v>
      </c>
      <c r="T194" s="143">
        <v>5</v>
      </c>
      <c r="U194" s="143">
        <v>0</v>
      </c>
      <c r="V194" s="144">
        <v>0.3</v>
      </c>
      <c r="W194" s="144">
        <v>0</v>
      </c>
      <c r="X194" s="144">
        <v>0.5</v>
      </c>
      <c r="Y194" s="144">
        <v>0</v>
      </c>
      <c r="Z194" s="145">
        <v>4.8999999999999986</v>
      </c>
      <c r="AA194" s="98" t="s">
        <v>33</v>
      </c>
    </row>
    <row r="195" spans="1:27" ht="40" customHeight="1" x14ac:dyDescent="0.2">
      <c r="A195" s="96" t="str">
        <f>A194</f>
        <v>MAGIC 1</v>
      </c>
      <c r="B195" s="96">
        <v>6</v>
      </c>
      <c r="C195" s="96">
        <f>C194</f>
        <v>2</v>
      </c>
      <c r="D195" s="128" t="s">
        <v>48</v>
      </c>
      <c r="E195" s="146">
        <v>10</v>
      </c>
      <c r="F195" s="146">
        <v>14</v>
      </c>
      <c r="G195" s="146">
        <v>2</v>
      </c>
      <c r="H195" s="146">
        <v>8</v>
      </c>
      <c r="I195" s="146">
        <v>12</v>
      </c>
      <c r="J195" s="146">
        <v>22</v>
      </c>
      <c r="K195" s="146">
        <v>0</v>
      </c>
      <c r="L195" s="146">
        <v>0</v>
      </c>
      <c r="M195" s="146">
        <v>1</v>
      </c>
      <c r="N195" s="146">
        <v>5</v>
      </c>
      <c r="O195" s="146">
        <v>26</v>
      </c>
      <c r="P195" s="146">
        <v>6</v>
      </c>
      <c r="Q195" s="146">
        <v>5</v>
      </c>
      <c r="R195" s="146">
        <v>1</v>
      </c>
      <c r="S195" s="146">
        <v>2</v>
      </c>
      <c r="T195" s="146">
        <v>0</v>
      </c>
      <c r="U195" s="146">
        <v>0</v>
      </c>
      <c r="V195" s="147">
        <v>0.54545454545454541</v>
      </c>
      <c r="W195" s="147">
        <v>0</v>
      </c>
      <c r="X195" s="147">
        <v>0.7142857142857143</v>
      </c>
      <c r="Y195" s="147">
        <v>0.25</v>
      </c>
      <c r="Z195" s="148">
        <v>23.8</v>
      </c>
      <c r="AA195" s="98" t="str">
        <f>AA194</f>
        <v>REG</v>
      </c>
    </row>
    <row r="196" spans="1:27" ht="40" customHeight="1" x14ac:dyDescent="0.2">
      <c r="A196" s="96" t="str">
        <f>A195</f>
        <v>MAGIC 1</v>
      </c>
      <c r="B196" s="96">
        <v>6</v>
      </c>
      <c r="C196" s="96">
        <f t="shared" ref="C196:C197" si="384">C195</f>
        <v>2</v>
      </c>
      <c r="D196" s="128" t="s">
        <v>47</v>
      </c>
      <c r="E196" s="149">
        <v>2</v>
      </c>
      <c r="F196" s="149">
        <v>5</v>
      </c>
      <c r="G196" s="149">
        <v>1</v>
      </c>
      <c r="H196" s="149">
        <v>10</v>
      </c>
      <c r="I196" s="149">
        <v>3</v>
      </c>
      <c r="J196" s="149">
        <v>15</v>
      </c>
      <c r="K196" s="149">
        <v>0</v>
      </c>
      <c r="L196" s="149">
        <v>4</v>
      </c>
      <c r="M196" s="149">
        <v>1</v>
      </c>
      <c r="N196" s="149">
        <v>1</v>
      </c>
      <c r="O196" s="149">
        <v>7</v>
      </c>
      <c r="P196" s="149">
        <v>2</v>
      </c>
      <c r="Q196" s="149">
        <v>2</v>
      </c>
      <c r="R196" s="149">
        <v>0</v>
      </c>
      <c r="S196" s="149">
        <v>2</v>
      </c>
      <c r="T196" s="149">
        <v>0</v>
      </c>
      <c r="U196" s="149">
        <v>2</v>
      </c>
      <c r="V196" s="150">
        <v>0.2</v>
      </c>
      <c r="W196" s="150">
        <v>0</v>
      </c>
      <c r="X196" s="150">
        <v>0.4</v>
      </c>
      <c r="Y196" s="150">
        <v>0.1</v>
      </c>
      <c r="Z196" s="151">
        <v>-0.30000000000000138</v>
      </c>
      <c r="AA196" s="98" t="str">
        <f t="shared" ref="AA196:AA197" si="385">AA195</f>
        <v>REG</v>
      </c>
    </row>
    <row r="197" spans="1:27" ht="40" customHeight="1" x14ac:dyDescent="0.2">
      <c r="A197" s="96" t="str">
        <f t="shared" ref="A197" si="386">A196</f>
        <v>MAGIC 1</v>
      </c>
      <c r="B197" s="96">
        <v>6</v>
      </c>
      <c r="C197" s="96">
        <f t="shared" si="384"/>
        <v>2</v>
      </c>
      <c r="D197" s="128" t="s">
        <v>42</v>
      </c>
      <c r="E197" s="152">
        <v>6</v>
      </c>
      <c r="F197" s="152">
        <v>10</v>
      </c>
      <c r="G197" s="152">
        <v>2</v>
      </c>
      <c r="H197" s="152">
        <v>7</v>
      </c>
      <c r="I197" s="152">
        <v>8</v>
      </c>
      <c r="J197" s="152">
        <v>17</v>
      </c>
      <c r="K197" s="152">
        <v>0</v>
      </c>
      <c r="L197" s="152">
        <v>0</v>
      </c>
      <c r="M197" s="152">
        <v>3</v>
      </c>
      <c r="N197" s="152">
        <v>6</v>
      </c>
      <c r="O197" s="152">
        <v>18</v>
      </c>
      <c r="P197" s="152">
        <v>9</v>
      </c>
      <c r="Q197" s="152">
        <v>10</v>
      </c>
      <c r="R197" s="152">
        <v>0</v>
      </c>
      <c r="S197" s="152">
        <v>0</v>
      </c>
      <c r="T197" s="152">
        <v>1</v>
      </c>
      <c r="U197" s="152">
        <v>1</v>
      </c>
      <c r="V197" s="153">
        <v>0.47058823529411764</v>
      </c>
      <c r="W197" s="153">
        <v>0</v>
      </c>
      <c r="X197" s="153">
        <v>0.6</v>
      </c>
      <c r="Y197" s="153">
        <v>0.2857142857142857</v>
      </c>
      <c r="Z197" s="154">
        <v>18.8</v>
      </c>
      <c r="AA197" s="98" t="str">
        <f t="shared" si="385"/>
        <v>REG</v>
      </c>
    </row>
    <row r="198" spans="1:27" ht="40" customHeight="1" x14ac:dyDescent="0.2">
      <c r="A198" s="96" t="str">
        <f>A197</f>
        <v>MAGIC 1</v>
      </c>
      <c r="B198" s="96">
        <f>B197</f>
        <v>6</v>
      </c>
      <c r="C198" s="96">
        <f>C197</f>
        <v>2</v>
      </c>
      <c r="D198" s="128" t="s">
        <v>43</v>
      </c>
      <c r="E198" s="155">
        <v>2</v>
      </c>
      <c r="F198" s="155">
        <v>2</v>
      </c>
      <c r="G198" s="155">
        <v>2</v>
      </c>
      <c r="H198" s="155">
        <v>5</v>
      </c>
      <c r="I198" s="155">
        <v>4</v>
      </c>
      <c r="J198" s="155">
        <v>7</v>
      </c>
      <c r="K198" s="155">
        <v>0</v>
      </c>
      <c r="L198" s="155">
        <v>0</v>
      </c>
      <c r="M198" s="155">
        <v>1</v>
      </c>
      <c r="N198" s="155">
        <v>18</v>
      </c>
      <c r="O198" s="155">
        <v>10</v>
      </c>
      <c r="P198" s="155">
        <v>19</v>
      </c>
      <c r="Q198" s="155">
        <v>3</v>
      </c>
      <c r="R198" s="155">
        <v>2</v>
      </c>
      <c r="S198" s="155">
        <v>3</v>
      </c>
      <c r="T198" s="155">
        <v>2</v>
      </c>
      <c r="U198" s="155">
        <v>1</v>
      </c>
      <c r="V198" s="156">
        <v>0.5714285714285714</v>
      </c>
      <c r="W198" s="156">
        <v>0</v>
      </c>
      <c r="X198" s="156">
        <v>1</v>
      </c>
      <c r="Y198" s="156">
        <v>0.4</v>
      </c>
      <c r="Z198" s="157">
        <v>16.899999999999999</v>
      </c>
      <c r="AA198" s="98" t="str">
        <f>AA197</f>
        <v>REG</v>
      </c>
    </row>
    <row r="199" spans="1:27" ht="40" customHeight="1" x14ac:dyDescent="0.2">
      <c r="A199" s="96" t="str">
        <f>A198</f>
        <v>MAGIC 1</v>
      </c>
      <c r="B199" s="96">
        <f t="shared" ref="B199:C199" si="387">B198</f>
        <v>6</v>
      </c>
      <c r="C199" s="96">
        <f t="shared" si="387"/>
        <v>2</v>
      </c>
      <c r="D199" s="128" t="s">
        <v>31</v>
      </c>
      <c r="E199" s="142">
        <v>23</v>
      </c>
      <c r="F199" s="142">
        <v>37</v>
      </c>
      <c r="G199" s="142">
        <v>7</v>
      </c>
      <c r="H199" s="142">
        <v>34</v>
      </c>
      <c r="I199" s="142">
        <v>30</v>
      </c>
      <c r="J199" s="142">
        <v>71</v>
      </c>
      <c r="K199" s="142">
        <v>0</v>
      </c>
      <c r="L199" s="142">
        <v>4</v>
      </c>
      <c r="M199" s="142">
        <v>13</v>
      </c>
      <c r="N199" s="142">
        <v>32</v>
      </c>
      <c r="O199" s="142">
        <v>67</v>
      </c>
      <c r="P199" s="142">
        <v>45</v>
      </c>
      <c r="Q199" s="142">
        <v>26</v>
      </c>
      <c r="R199" s="142">
        <v>3</v>
      </c>
      <c r="S199" s="142">
        <v>7</v>
      </c>
      <c r="T199" s="142">
        <v>8</v>
      </c>
      <c r="U199" s="142">
        <v>4</v>
      </c>
      <c r="V199" s="161">
        <v>0.42253521126760563</v>
      </c>
      <c r="W199" s="161">
        <v>0</v>
      </c>
      <c r="X199" s="161">
        <v>0.6216216216216216</v>
      </c>
      <c r="Y199" s="161">
        <v>0.20588235294117646</v>
      </c>
      <c r="Z199" s="162">
        <v>12.819999999999999</v>
      </c>
      <c r="AA199" s="100" t="str">
        <f>AA198</f>
        <v>REG</v>
      </c>
    </row>
    <row r="200" spans="1:27" ht="40" customHeight="1" x14ac:dyDescent="0.2">
      <c r="A200" s="96" t="s">
        <v>38</v>
      </c>
      <c r="B200" s="96">
        <f>B199</f>
        <v>6</v>
      </c>
      <c r="C200" s="96">
        <f>C199</f>
        <v>2</v>
      </c>
      <c r="D200" s="163" t="s">
        <v>35</v>
      </c>
      <c r="E200" s="163"/>
      <c r="F200" s="165"/>
      <c r="G200" s="163"/>
      <c r="H200" s="163"/>
      <c r="I200" s="163"/>
      <c r="J200" s="163"/>
      <c r="K200" s="163"/>
      <c r="L200" s="163"/>
      <c r="M200" s="163"/>
      <c r="N200" s="163"/>
      <c r="O200" s="163">
        <v>58</v>
      </c>
      <c r="P200" s="163"/>
      <c r="Q200" s="163"/>
      <c r="R200" s="163"/>
      <c r="S200" s="163"/>
      <c r="T200" s="163"/>
      <c r="U200" s="163"/>
      <c r="V200" s="163"/>
      <c r="W200" s="163"/>
      <c r="X200" s="163"/>
      <c r="Y200" s="163"/>
      <c r="Z200" s="163"/>
      <c r="AA200" s="98" t="str">
        <f>AA199</f>
        <v>REG</v>
      </c>
    </row>
    <row r="201" spans="1:27" ht="40" customHeight="1" x14ac:dyDescent="0.2">
      <c r="A201" s="96" t="str">
        <f>D207</f>
        <v>LIGHTNING 1</v>
      </c>
      <c r="B201" s="96">
        <v>6</v>
      </c>
      <c r="C201" s="96">
        <f>C194+1</f>
        <v>3</v>
      </c>
      <c r="D201" s="128" t="s">
        <v>40</v>
      </c>
      <c r="E201" s="143">
        <v>2</v>
      </c>
      <c r="F201" s="143">
        <v>4</v>
      </c>
      <c r="G201" s="143">
        <v>2</v>
      </c>
      <c r="H201" s="143">
        <v>6</v>
      </c>
      <c r="I201" s="143">
        <v>4</v>
      </c>
      <c r="J201" s="143">
        <v>10</v>
      </c>
      <c r="K201" s="143">
        <v>0</v>
      </c>
      <c r="L201" s="143">
        <v>1</v>
      </c>
      <c r="M201" s="143">
        <v>2</v>
      </c>
      <c r="N201" s="143">
        <v>0</v>
      </c>
      <c r="O201" s="143">
        <v>10</v>
      </c>
      <c r="P201" s="143">
        <v>2</v>
      </c>
      <c r="Q201" s="143">
        <v>0</v>
      </c>
      <c r="R201" s="143">
        <v>0</v>
      </c>
      <c r="S201" s="143">
        <v>0</v>
      </c>
      <c r="T201" s="143">
        <v>1</v>
      </c>
      <c r="U201" s="143">
        <v>0</v>
      </c>
      <c r="V201" s="144">
        <v>0.4</v>
      </c>
      <c r="W201" s="144">
        <v>0</v>
      </c>
      <c r="X201" s="144">
        <v>0.5</v>
      </c>
      <c r="Y201" s="144">
        <v>0.33333333333333331</v>
      </c>
      <c r="Z201" s="145">
        <v>4.5999999999999996</v>
      </c>
      <c r="AA201" s="98" t="s">
        <v>33</v>
      </c>
    </row>
    <row r="202" spans="1:27" ht="40" customHeight="1" x14ac:dyDescent="0.2">
      <c r="A202" s="96" t="str">
        <f>A201</f>
        <v>LIGHTNING 1</v>
      </c>
      <c r="B202" s="96">
        <v>6</v>
      </c>
      <c r="C202" s="96">
        <f>C201</f>
        <v>3</v>
      </c>
      <c r="D202" s="128" t="s">
        <v>55</v>
      </c>
      <c r="E202" s="132">
        <v>0</v>
      </c>
      <c r="F202" s="132">
        <v>1</v>
      </c>
      <c r="G202" s="132">
        <v>0</v>
      </c>
      <c r="H202" s="132">
        <v>3</v>
      </c>
      <c r="I202" s="132">
        <f t="shared" ref="I202:J202" si="388">E202+G202</f>
        <v>0</v>
      </c>
      <c r="J202" s="132">
        <f t="shared" si="388"/>
        <v>4</v>
      </c>
      <c r="K202" s="132">
        <v>0</v>
      </c>
      <c r="L202" s="132">
        <v>0</v>
      </c>
      <c r="M202" s="132">
        <v>0</v>
      </c>
      <c r="N202" s="132">
        <v>1</v>
      </c>
      <c r="O202" s="132">
        <f>(E202*2)+(G202*3)+(K202)</f>
        <v>0</v>
      </c>
      <c r="P202" s="132">
        <f t="shared" ref="P202" si="389">M202+N202</f>
        <v>1</v>
      </c>
      <c r="Q202" s="132">
        <v>0</v>
      </c>
      <c r="R202" s="132">
        <v>0</v>
      </c>
      <c r="S202" s="132">
        <v>0</v>
      </c>
      <c r="T202" s="132">
        <v>1</v>
      </c>
      <c r="U202" s="132">
        <v>3</v>
      </c>
      <c r="V202" s="133">
        <f t="shared" ref="V202" si="390">IFERROR((E202+G202)/(F202+H202),0)</f>
        <v>0</v>
      </c>
      <c r="W202" s="133">
        <f t="shared" ref="W202" si="391">IFERROR(K202/L202,0)</f>
        <v>0</v>
      </c>
      <c r="X202" s="133">
        <f t="shared" ref="X202" si="392">E202/F202</f>
        <v>0</v>
      </c>
      <c r="Y202" s="133">
        <f t="shared" ref="Y202" si="393">IFERROR(G202/H202,0)</f>
        <v>0</v>
      </c>
      <c r="Z202" s="134">
        <f t="shared" ref="Z202" si="394">(O202)+(0.4*I202)-(0.7*J202)-(0.4*(L202-K202))+(0.7*M202)+(0.3*N202)+S202+(0.7*Q202)+(0.7*R202)-(0.4*U202)-T202</f>
        <v>-4.7</v>
      </c>
      <c r="AA202" s="98" t="str">
        <f>AA201</f>
        <v>REG</v>
      </c>
    </row>
    <row r="203" spans="1:27" ht="40" customHeight="1" x14ac:dyDescent="0.2">
      <c r="A203" s="96" t="str">
        <f>A202</f>
        <v>LIGHTNING 1</v>
      </c>
      <c r="B203" s="96">
        <v>6</v>
      </c>
      <c r="C203" s="96">
        <f t="shared" ref="C203:C204" si="395">C202</f>
        <v>3</v>
      </c>
      <c r="D203" s="128" t="s">
        <v>47</v>
      </c>
      <c r="E203" s="149">
        <v>4</v>
      </c>
      <c r="F203" s="149">
        <v>12</v>
      </c>
      <c r="G203" s="149"/>
      <c r="H203" s="149">
        <v>2</v>
      </c>
      <c r="I203" s="149">
        <v>4</v>
      </c>
      <c r="J203" s="149">
        <v>14</v>
      </c>
      <c r="K203" s="149">
        <v>1</v>
      </c>
      <c r="L203" s="149">
        <v>2</v>
      </c>
      <c r="M203" s="149">
        <v>2</v>
      </c>
      <c r="N203" s="149">
        <v>3</v>
      </c>
      <c r="O203" s="149">
        <v>9</v>
      </c>
      <c r="P203" s="149">
        <v>5</v>
      </c>
      <c r="Q203" s="149">
        <v>7</v>
      </c>
      <c r="R203" s="149">
        <v>0</v>
      </c>
      <c r="S203" s="149">
        <v>0</v>
      </c>
      <c r="T203" s="149">
        <v>6</v>
      </c>
      <c r="U203" s="149">
        <v>0</v>
      </c>
      <c r="V203" s="150">
        <v>0.2857142857142857</v>
      </c>
      <c r="W203" s="150">
        <v>0.5</v>
      </c>
      <c r="X203" s="150">
        <v>0.33333333333333331</v>
      </c>
      <c r="Y203" s="150">
        <v>0</v>
      </c>
      <c r="Z203" s="151">
        <v>1.5999999999999996</v>
      </c>
      <c r="AA203" s="98" t="str">
        <f t="shared" ref="AA203:AA206" si="396">AA202</f>
        <v>REG</v>
      </c>
    </row>
    <row r="204" spans="1:27" ht="40" customHeight="1" x14ac:dyDescent="0.2">
      <c r="A204" s="96" t="str">
        <f>A203</f>
        <v>LIGHTNING 1</v>
      </c>
      <c r="B204" s="96">
        <f t="shared" ref="B204" si="397">B203</f>
        <v>6</v>
      </c>
      <c r="C204" s="96">
        <f t="shared" si="395"/>
        <v>3</v>
      </c>
      <c r="D204" s="128" t="s">
        <v>43</v>
      </c>
      <c r="E204" s="155">
        <v>6</v>
      </c>
      <c r="F204" s="155">
        <v>8</v>
      </c>
      <c r="G204" s="155">
        <v>0</v>
      </c>
      <c r="H204" s="155">
        <v>5</v>
      </c>
      <c r="I204" s="155">
        <v>6</v>
      </c>
      <c r="J204" s="155">
        <v>13</v>
      </c>
      <c r="K204" s="155">
        <v>1</v>
      </c>
      <c r="L204" s="155">
        <v>2</v>
      </c>
      <c r="M204" s="155">
        <v>2</v>
      </c>
      <c r="N204" s="155">
        <v>17</v>
      </c>
      <c r="O204" s="155">
        <v>13</v>
      </c>
      <c r="P204" s="155">
        <v>19</v>
      </c>
      <c r="Q204" s="155">
        <v>4</v>
      </c>
      <c r="R204" s="155">
        <v>1</v>
      </c>
      <c r="S204" s="155">
        <v>1</v>
      </c>
      <c r="T204" s="155">
        <v>1</v>
      </c>
      <c r="U204" s="155">
        <v>2</v>
      </c>
      <c r="V204" s="156">
        <v>0.46153846153846156</v>
      </c>
      <c r="W204" s="156">
        <v>0.5</v>
      </c>
      <c r="X204" s="156">
        <v>0.75</v>
      </c>
      <c r="Y204" s="156">
        <v>0</v>
      </c>
      <c r="Z204" s="157">
        <v>15.099999999999998</v>
      </c>
      <c r="AA204" s="98" t="str">
        <f>AA203</f>
        <v>REG</v>
      </c>
    </row>
    <row r="205" spans="1:27" ht="40" customHeight="1" x14ac:dyDescent="0.2">
      <c r="A205" s="96" t="str">
        <f>A204</f>
        <v>LIGHTNING 1</v>
      </c>
      <c r="B205" s="96">
        <v>6</v>
      </c>
      <c r="C205" s="96">
        <f>C204</f>
        <v>3</v>
      </c>
      <c r="D205" s="128" t="s">
        <v>50</v>
      </c>
      <c r="E205" s="129">
        <v>2</v>
      </c>
      <c r="F205" s="129">
        <v>8</v>
      </c>
      <c r="G205" s="129">
        <v>0</v>
      </c>
      <c r="H205" s="129">
        <v>4</v>
      </c>
      <c r="I205" s="129">
        <f t="shared" ref="I205:J205" si="398">E205+G205</f>
        <v>2</v>
      </c>
      <c r="J205" s="129">
        <f t="shared" si="398"/>
        <v>12</v>
      </c>
      <c r="K205" s="129">
        <v>0</v>
      </c>
      <c r="L205" s="129">
        <v>0</v>
      </c>
      <c r="M205" s="129">
        <v>3</v>
      </c>
      <c r="N205" s="129">
        <v>2</v>
      </c>
      <c r="O205" s="129">
        <f>(E205*2)+(G205*3)+(K205)</f>
        <v>4</v>
      </c>
      <c r="P205" s="129">
        <f>M205+N205</f>
        <v>5</v>
      </c>
      <c r="Q205" s="129">
        <v>0</v>
      </c>
      <c r="R205" s="129">
        <v>0</v>
      </c>
      <c r="S205" s="129">
        <v>1</v>
      </c>
      <c r="T205" s="129">
        <v>4</v>
      </c>
      <c r="U205" s="129">
        <v>1</v>
      </c>
      <c r="V205" s="130">
        <f t="shared" ref="V205" si="399">IFERROR((E205+G205)/(F205+H205),0)</f>
        <v>0.16666666666666666</v>
      </c>
      <c r="W205" s="130">
        <f t="shared" ref="W205" si="400">IFERROR(K205/L205,0)</f>
        <v>0</v>
      </c>
      <c r="X205" s="130">
        <f t="shared" ref="X205" si="401">E205/F205</f>
        <v>0.25</v>
      </c>
      <c r="Y205" s="130">
        <f t="shared" ref="Y205" si="402">IFERROR(G205/H205,0)</f>
        <v>0</v>
      </c>
      <c r="Z205" s="131">
        <f t="shared" ref="Z205" si="403">(O205)+(0.4*I205)-(0.7*J205)-(0.4*(L205-K205))+(0.7*M205)+(0.3*N205)+S205+(0.7*Q205)+(0.7*R205)-(0.4*U205)-T205</f>
        <v>-4.2999999999999989</v>
      </c>
      <c r="AA205" s="100" t="str">
        <f>AA204</f>
        <v>REG</v>
      </c>
    </row>
    <row r="206" spans="1:27" ht="40" customHeight="1" x14ac:dyDescent="0.2">
      <c r="A206" s="96" t="str">
        <f>A205</f>
        <v>LIGHTNING 1</v>
      </c>
      <c r="B206" s="96">
        <f t="shared" ref="B206" si="404">B205</f>
        <v>6</v>
      </c>
      <c r="C206" s="96">
        <f t="shared" ref="C206" si="405">C205</f>
        <v>3</v>
      </c>
      <c r="D206" s="128" t="s">
        <v>31</v>
      </c>
      <c r="E206" s="142">
        <v>14</v>
      </c>
      <c r="F206" s="142">
        <v>33</v>
      </c>
      <c r="G206" s="142">
        <v>5</v>
      </c>
      <c r="H206" s="142">
        <v>30</v>
      </c>
      <c r="I206" s="142">
        <v>19</v>
      </c>
      <c r="J206" s="142">
        <v>63</v>
      </c>
      <c r="K206" s="142">
        <v>2</v>
      </c>
      <c r="L206" s="142">
        <v>5</v>
      </c>
      <c r="M206" s="142">
        <v>10</v>
      </c>
      <c r="N206" s="142">
        <v>27</v>
      </c>
      <c r="O206" s="142">
        <v>45</v>
      </c>
      <c r="P206" s="142">
        <v>37</v>
      </c>
      <c r="Q206" s="142">
        <v>15</v>
      </c>
      <c r="R206" s="142">
        <v>1</v>
      </c>
      <c r="S206" s="142">
        <v>3</v>
      </c>
      <c r="T206" s="142">
        <v>13</v>
      </c>
      <c r="U206" s="142">
        <v>7</v>
      </c>
      <c r="V206" s="161">
        <v>0.30158730158730157</v>
      </c>
      <c r="W206" s="161">
        <v>0.4</v>
      </c>
      <c r="X206" s="161">
        <v>0.42424242424242425</v>
      </c>
      <c r="Y206" s="161">
        <v>0.16666666666666666</v>
      </c>
      <c r="Z206" s="162">
        <v>3.4666666666666663</v>
      </c>
      <c r="AA206" s="96" t="str">
        <f t="shared" si="396"/>
        <v>REG</v>
      </c>
    </row>
    <row r="207" spans="1:27" ht="40" customHeight="1" x14ac:dyDescent="0.2">
      <c r="A207" s="96" t="s">
        <v>38</v>
      </c>
      <c r="B207" s="96">
        <f>B206</f>
        <v>6</v>
      </c>
      <c r="C207" s="96">
        <f>C206</f>
        <v>3</v>
      </c>
      <c r="D207" s="163" t="s">
        <v>28</v>
      </c>
      <c r="E207" s="163"/>
      <c r="F207" s="163"/>
      <c r="G207" s="164"/>
      <c r="H207" s="163"/>
      <c r="I207" s="163"/>
      <c r="J207" s="163"/>
      <c r="K207" s="163"/>
      <c r="L207" s="163"/>
      <c r="M207" s="163"/>
      <c r="N207" s="163"/>
      <c r="O207" s="163">
        <v>69</v>
      </c>
      <c r="P207" s="163"/>
      <c r="Q207" s="163"/>
      <c r="R207" s="163"/>
      <c r="S207" s="163"/>
      <c r="T207" s="163"/>
      <c r="U207" s="163"/>
      <c r="V207" s="163"/>
      <c r="W207" s="163"/>
      <c r="X207" s="163"/>
      <c r="Y207" s="163"/>
      <c r="Z207" s="163"/>
      <c r="AA207" s="98" t="str">
        <f>AA206</f>
        <v>REG</v>
      </c>
    </row>
    <row r="208" spans="1:27" ht="40" customHeight="1" x14ac:dyDescent="0.2">
      <c r="A208" s="96" t="str">
        <f>D215</f>
        <v>SAINTS</v>
      </c>
      <c r="B208" s="96">
        <v>6</v>
      </c>
      <c r="C208" s="96">
        <f>C201+1</f>
        <v>4</v>
      </c>
      <c r="D208" s="128" t="s">
        <v>40</v>
      </c>
      <c r="E208" s="143">
        <v>4</v>
      </c>
      <c r="F208" s="143">
        <v>9</v>
      </c>
      <c r="G208" s="143">
        <v>1</v>
      </c>
      <c r="H208" s="143">
        <v>8</v>
      </c>
      <c r="I208" s="143">
        <v>5</v>
      </c>
      <c r="J208" s="143">
        <v>17</v>
      </c>
      <c r="K208" s="143">
        <v>1</v>
      </c>
      <c r="L208" s="143">
        <v>2</v>
      </c>
      <c r="M208" s="143">
        <v>5</v>
      </c>
      <c r="N208" s="143">
        <v>2</v>
      </c>
      <c r="O208" s="143">
        <v>12</v>
      </c>
      <c r="P208" s="143">
        <v>7</v>
      </c>
      <c r="Q208" s="143">
        <v>2</v>
      </c>
      <c r="R208" s="143">
        <v>0</v>
      </c>
      <c r="S208" s="143">
        <v>1</v>
      </c>
      <c r="T208" s="143">
        <v>2</v>
      </c>
      <c r="U208" s="143">
        <v>4</v>
      </c>
      <c r="V208" s="144">
        <v>0.29411764705882354</v>
      </c>
      <c r="W208" s="144">
        <v>0.5</v>
      </c>
      <c r="X208" s="144">
        <v>0.44444444444444442</v>
      </c>
      <c r="Y208" s="144">
        <v>0.125</v>
      </c>
      <c r="Z208" s="145">
        <v>4.6000000000000014</v>
      </c>
      <c r="AA208" s="98" t="s">
        <v>33</v>
      </c>
    </row>
    <row r="209" spans="1:27" ht="40" customHeight="1" x14ac:dyDescent="0.2">
      <c r="A209" s="96" t="str">
        <f>A208</f>
        <v>SAINTS</v>
      </c>
      <c r="B209" s="96">
        <v>6</v>
      </c>
      <c r="C209" s="96">
        <f>C208</f>
        <v>4</v>
      </c>
      <c r="D209" s="135" t="s">
        <v>53</v>
      </c>
      <c r="E209" s="136">
        <v>1</v>
      </c>
      <c r="F209" s="136">
        <v>2</v>
      </c>
      <c r="G209" s="136">
        <v>1</v>
      </c>
      <c r="H209" s="136">
        <v>8</v>
      </c>
      <c r="I209" s="136">
        <f t="shared" ref="I209:J209" si="406">E209+G209</f>
        <v>2</v>
      </c>
      <c r="J209" s="136">
        <f t="shared" si="406"/>
        <v>10</v>
      </c>
      <c r="K209" s="136">
        <v>0</v>
      </c>
      <c r="L209" s="136">
        <v>0</v>
      </c>
      <c r="M209" s="136">
        <v>1</v>
      </c>
      <c r="N209" s="136">
        <v>2</v>
      </c>
      <c r="O209" s="136">
        <f>(E209*2)+(G209*3)+(K209)</f>
        <v>5</v>
      </c>
      <c r="P209" s="136">
        <v>4</v>
      </c>
      <c r="Q209" s="136">
        <v>1</v>
      </c>
      <c r="R209" s="136">
        <v>2</v>
      </c>
      <c r="S209" s="136">
        <v>2</v>
      </c>
      <c r="T209" s="136">
        <v>0</v>
      </c>
      <c r="U209" s="136">
        <v>0</v>
      </c>
      <c r="V209" s="137">
        <f t="shared" ref="V209" si="407">IFERROR((E209+G209)/(F209+H209),0)</f>
        <v>0.2</v>
      </c>
      <c r="W209" s="137">
        <f t="shared" ref="W209" si="408">IFERROR(K209/L209,0)</f>
        <v>0</v>
      </c>
      <c r="X209" s="137">
        <f>IFERROR(E209/F209,0)</f>
        <v>0.5</v>
      </c>
      <c r="Y209" s="137">
        <f t="shared" ref="Y209" si="409">IFERROR(G209/H209,0)</f>
        <v>0.125</v>
      </c>
      <c r="Z209" s="138">
        <f t="shared" ref="Z209" si="410">(O209)+(0.4*I209)-(0.7*J209)-(0.4*(L209-K209))+(0.7*M209)+(0.3*N209)+S209+(0.7*Q209)+(0.7*R209)-(0.4*U209)-T209</f>
        <v>4.1999999999999993</v>
      </c>
      <c r="AA209" s="98" t="str">
        <f>AA208</f>
        <v>REG</v>
      </c>
    </row>
    <row r="210" spans="1:27" ht="40" customHeight="1" x14ac:dyDescent="0.2">
      <c r="A210" s="96" t="str">
        <f>A209</f>
        <v>SAINTS</v>
      </c>
      <c r="B210" s="96">
        <v>6</v>
      </c>
      <c r="C210" s="96">
        <f>C209</f>
        <v>4</v>
      </c>
      <c r="D210" s="128" t="s">
        <v>47</v>
      </c>
      <c r="E210" s="149">
        <v>1</v>
      </c>
      <c r="F210" s="149">
        <v>3</v>
      </c>
      <c r="G210" s="149">
        <v>1</v>
      </c>
      <c r="H210" s="149">
        <v>2</v>
      </c>
      <c r="I210" s="149">
        <v>2</v>
      </c>
      <c r="J210" s="149">
        <v>5</v>
      </c>
      <c r="K210" s="149">
        <v>0</v>
      </c>
      <c r="L210" s="149">
        <v>0</v>
      </c>
      <c r="M210" s="149">
        <v>0</v>
      </c>
      <c r="N210" s="149">
        <v>4</v>
      </c>
      <c r="O210" s="149">
        <v>5</v>
      </c>
      <c r="P210" s="149">
        <v>4</v>
      </c>
      <c r="Q210" s="149">
        <v>2</v>
      </c>
      <c r="R210" s="149">
        <v>0</v>
      </c>
      <c r="S210" s="149">
        <v>2</v>
      </c>
      <c r="T210" s="149">
        <v>3</v>
      </c>
      <c r="U210" s="149">
        <v>2</v>
      </c>
      <c r="V210" s="150">
        <v>0.4</v>
      </c>
      <c r="W210" s="150">
        <v>0</v>
      </c>
      <c r="X210" s="150">
        <v>0.33333333333333331</v>
      </c>
      <c r="Y210" s="150">
        <v>0.5</v>
      </c>
      <c r="Z210" s="151">
        <v>3.1000000000000005</v>
      </c>
      <c r="AA210" s="98" t="str">
        <f>AA209</f>
        <v>REG</v>
      </c>
    </row>
    <row r="211" spans="1:27" ht="40" customHeight="1" x14ac:dyDescent="0.2">
      <c r="A211" s="96" t="str">
        <f t="shared" ref="A211" si="411">A210</f>
        <v>SAINTS</v>
      </c>
      <c r="B211" s="96">
        <v>6</v>
      </c>
      <c r="C211" s="96">
        <f t="shared" ref="C211" si="412">C210</f>
        <v>4</v>
      </c>
      <c r="D211" s="128" t="s">
        <v>42</v>
      </c>
      <c r="E211" s="152">
        <v>3</v>
      </c>
      <c r="F211" s="152">
        <v>6</v>
      </c>
      <c r="G211" s="152">
        <v>2</v>
      </c>
      <c r="H211" s="152">
        <v>10</v>
      </c>
      <c r="I211" s="152">
        <v>5</v>
      </c>
      <c r="J211" s="152">
        <v>16</v>
      </c>
      <c r="K211" s="152">
        <v>0</v>
      </c>
      <c r="L211" s="152">
        <v>0</v>
      </c>
      <c r="M211" s="152">
        <v>0</v>
      </c>
      <c r="N211" s="152">
        <v>8</v>
      </c>
      <c r="O211" s="152">
        <v>12</v>
      </c>
      <c r="P211" s="152">
        <v>8</v>
      </c>
      <c r="Q211" s="152">
        <v>3</v>
      </c>
      <c r="R211" s="152">
        <v>1</v>
      </c>
      <c r="S211" s="152">
        <v>0</v>
      </c>
      <c r="T211" s="152">
        <v>3</v>
      </c>
      <c r="U211" s="152">
        <v>1</v>
      </c>
      <c r="V211" s="153">
        <v>0.3125</v>
      </c>
      <c r="W211" s="153">
        <v>0</v>
      </c>
      <c r="X211" s="153">
        <v>0.5</v>
      </c>
      <c r="Y211" s="153">
        <v>0.2</v>
      </c>
      <c r="Z211" s="154">
        <v>4.5999999999999996</v>
      </c>
      <c r="AA211" s="98" t="str">
        <f t="shared" ref="AA211:AA214" si="413">AA210</f>
        <v>REG</v>
      </c>
    </row>
    <row r="212" spans="1:27" ht="40" customHeight="1" x14ac:dyDescent="0.2">
      <c r="A212" s="96" t="str">
        <f>A211</f>
        <v>SAINTS</v>
      </c>
      <c r="B212" s="96">
        <f>B211</f>
        <v>6</v>
      </c>
      <c r="C212" s="96">
        <f>C211</f>
        <v>4</v>
      </c>
      <c r="D212" s="128" t="s">
        <v>43</v>
      </c>
      <c r="E212" s="155">
        <v>0</v>
      </c>
      <c r="F212" s="155">
        <v>0</v>
      </c>
      <c r="G212" s="155">
        <v>1</v>
      </c>
      <c r="H212" s="155">
        <v>4</v>
      </c>
      <c r="I212" s="155">
        <v>1</v>
      </c>
      <c r="J212" s="155">
        <v>4</v>
      </c>
      <c r="K212" s="155">
        <v>0</v>
      </c>
      <c r="L212" s="155">
        <v>0</v>
      </c>
      <c r="M212" s="155">
        <v>0</v>
      </c>
      <c r="N212" s="155">
        <v>3</v>
      </c>
      <c r="O212" s="155">
        <v>3</v>
      </c>
      <c r="P212" s="155">
        <v>3</v>
      </c>
      <c r="Q212" s="155">
        <v>0</v>
      </c>
      <c r="R212" s="155">
        <v>3</v>
      </c>
      <c r="S212" s="155">
        <v>1</v>
      </c>
      <c r="T212" s="155">
        <v>1</v>
      </c>
      <c r="U212" s="155">
        <v>0</v>
      </c>
      <c r="V212" s="156">
        <v>0.25</v>
      </c>
      <c r="W212" s="156">
        <v>0</v>
      </c>
      <c r="X212" s="156">
        <v>0</v>
      </c>
      <c r="Y212" s="156">
        <v>0.25</v>
      </c>
      <c r="Z212" s="157">
        <v>3.5999999999999996</v>
      </c>
      <c r="AA212" s="98" t="str">
        <f>AA211</f>
        <v>REG</v>
      </c>
    </row>
    <row r="213" spans="1:27" ht="40" customHeight="1" x14ac:dyDescent="0.2">
      <c r="A213" s="96" t="str">
        <f>A212</f>
        <v>SAINTS</v>
      </c>
      <c r="B213" s="96">
        <v>6</v>
      </c>
      <c r="C213" s="96">
        <f>C212</f>
        <v>4</v>
      </c>
      <c r="D213" s="128" t="s">
        <v>54</v>
      </c>
      <c r="E213" s="158">
        <v>2</v>
      </c>
      <c r="F213" s="158">
        <v>11</v>
      </c>
      <c r="G213" s="158">
        <v>0</v>
      </c>
      <c r="H213" s="158">
        <v>3</v>
      </c>
      <c r="I213" s="158">
        <v>2</v>
      </c>
      <c r="J213" s="158">
        <v>14</v>
      </c>
      <c r="K213" s="158">
        <v>0</v>
      </c>
      <c r="L213" s="158">
        <v>0</v>
      </c>
      <c r="M213" s="158">
        <v>2</v>
      </c>
      <c r="N213" s="158">
        <v>8</v>
      </c>
      <c r="O213" s="158">
        <v>4</v>
      </c>
      <c r="P213" s="158">
        <v>8</v>
      </c>
      <c r="Q213" s="158">
        <v>1</v>
      </c>
      <c r="R213" s="158">
        <v>0</v>
      </c>
      <c r="S213" s="158">
        <v>1</v>
      </c>
      <c r="T213" s="158">
        <v>2</v>
      </c>
      <c r="U213" s="158">
        <v>0</v>
      </c>
      <c r="V213" s="159">
        <v>0.14285714285714285</v>
      </c>
      <c r="W213" s="159">
        <v>0</v>
      </c>
      <c r="X213" s="159">
        <v>0.18181818181818182</v>
      </c>
      <c r="Y213" s="159">
        <v>0</v>
      </c>
      <c r="Z213" s="160">
        <v>-1.4999999999999993</v>
      </c>
      <c r="AA213" s="100" t="str">
        <f>AA212</f>
        <v>REG</v>
      </c>
    </row>
    <row r="214" spans="1:27" ht="40" customHeight="1" x14ac:dyDescent="0.2">
      <c r="A214" s="96" t="str">
        <f>A213</f>
        <v>SAINTS</v>
      </c>
      <c r="B214" s="96">
        <f t="shared" ref="B214" si="414">B213</f>
        <v>6</v>
      </c>
      <c r="C214" s="96">
        <f t="shared" ref="C214" si="415">C213</f>
        <v>4</v>
      </c>
      <c r="D214" s="128" t="s">
        <v>31</v>
      </c>
      <c r="E214" s="142">
        <v>11</v>
      </c>
      <c r="F214" s="142">
        <v>31</v>
      </c>
      <c r="G214" s="142">
        <v>6</v>
      </c>
      <c r="H214" s="142">
        <v>35</v>
      </c>
      <c r="I214" s="142">
        <v>17</v>
      </c>
      <c r="J214" s="142">
        <v>66</v>
      </c>
      <c r="K214" s="142">
        <v>1</v>
      </c>
      <c r="L214" s="142">
        <v>2</v>
      </c>
      <c r="M214" s="142">
        <v>8</v>
      </c>
      <c r="N214" s="142">
        <v>27</v>
      </c>
      <c r="O214" s="142">
        <v>41</v>
      </c>
      <c r="P214" s="142">
        <v>34</v>
      </c>
      <c r="Q214" s="142">
        <v>9</v>
      </c>
      <c r="R214" s="142">
        <v>6</v>
      </c>
      <c r="S214" s="142">
        <v>7</v>
      </c>
      <c r="T214" s="142">
        <v>11</v>
      </c>
      <c r="U214" s="142">
        <v>7</v>
      </c>
      <c r="V214" s="161">
        <v>0.25757575757575757</v>
      </c>
      <c r="W214" s="161">
        <v>0.5</v>
      </c>
      <c r="X214" s="161">
        <v>0.35483870967741937</v>
      </c>
      <c r="Y214" s="161">
        <v>0.17142857142857143</v>
      </c>
      <c r="Z214" s="162">
        <v>3.1</v>
      </c>
      <c r="AA214" s="96" t="str">
        <f t="shared" si="413"/>
        <v>REG</v>
      </c>
    </row>
    <row r="215" spans="1:27" ht="40" customHeight="1" x14ac:dyDescent="0.2">
      <c r="A215" s="96" t="s">
        <v>38</v>
      </c>
      <c r="B215" s="96">
        <f>B214</f>
        <v>6</v>
      </c>
      <c r="C215" s="96">
        <f>C214</f>
        <v>4</v>
      </c>
      <c r="D215" s="163" t="s">
        <v>24</v>
      </c>
      <c r="E215" s="163"/>
      <c r="F215" s="164"/>
      <c r="G215" s="163"/>
      <c r="H215" s="163"/>
      <c r="I215" s="163"/>
      <c r="J215" s="163"/>
      <c r="K215" s="163"/>
      <c r="L215" s="163"/>
      <c r="M215" s="163"/>
      <c r="N215" s="163"/>
      <c r="O215" s="163">
        <v>60</v>
      </c>
      <c r="P215" s="163"/>
      <c r="Q215" s="163"/>
      <c r="R215" s="163"/>
      <c r="S215" s="163"/>
      <c r="T215" s="163"/>
      <c r="U215" s="163"/>
      <c r="V215" s="163"/>
      <c r="W215" s="163"/>
      <c r="X215" s="163"/>
      <c r="Y215" s="163"/>
      <c r="Z215" s="163"/>
      <c r="AA215" s="98" t="str">
        <f>AA214</f>
        <v>REG</v>
      </c>
    </row>
    <row r="216" spans="1:27" ht="40" customHeight="1" x14ac:dyDescent="0.2">
      <c r="A216" s="96" t="str">
        <f>D223</f>
        <v>MAGIC 1</v>
      </c>
      <c r="B216" s="96">
        <v>6</v>
      </c>
      <c r="C216" s="96">
        <f>C208+1</f>
        <v>5</v>
      </c>
      <c r="D216" s="128" t="s">
        <v>40</v>
      </c>
      <c r="E216" s="143">
        <v>4</v>
      </c>
      <c r="F216" s="143">
        <v>9</v>
      </c>
      <c r="G216" s="143">
        <v>0</v>
      </c>
      <c r="H216" s="143">
        <v>5</v>
      </c>
      <c r="I216" s="143">
        <v>4</v>
      </c>
      <c r="J216" s="143">
        <v>14</v>
      </c>
      <c r="K216" s="143">
        <v>0</v>
      </c>
      <c r="L216" s="143">
        <v>0</v>
      </c>
      <c r="M216" s="143">
        <v>6</v>
      </c>
      <c r="N216" s="143">
        <v>5</v>
      </c>
      <c r="O216" s="143">
        <v>8</v>
      </c>
      <c r="P216" s="143">
        <v>11</v>
      </c>
      <c r="Q216" s="143">
        <v>10</v>
      </c>
      <c r="R216" s="143">
        <v>0</v>
      </c>
      <c r="S216" s="143">
        <v>0</v>
      </c>
      <c r="T216" s="143">
        <v>2</v>
      </c>
      <c r="U216" s="143">
        <v>2</v>
      </c>
      <c r="V216" s="144">
        <v>0.2857142857142857</v>
      </c>
      <c r="W216" s="144">
        <v>0</v>
      </c>
      <c r="X216" s="144">
        <v>0.44444444444444442</v>
      </c>
      <c r="Y216" s="144">
        <v>0</v>
      </c>
      <c r="Z216" s="145">
        <v>9.6999999999999993</v>
      </c>
      <c r="AA216" s="98" t="s">
        <v>33</v>
      </c>
    </row>
    <row r="217" spans="1:27" ht="40" customHeight="1" x14ac:dyDescent="0.2">
      <c r="A217" s="96" t="str">
        <f>A216</f>
        <v>MAGIC 1</v>
      </c>
      <c r="B217" s="96">
        <v>6</v>
      </c>
      <c r="C217" s="96">
        <f>C216</f>
        <v>5</v>
      </c>
      <c r="D217" s="135" t="s">
        <v>49</v>
      </c>
      <c r="E217" s="139">
        <v>2</v>
      </c>
      <c r="F217" s="139">
        <v>6</v>
      </c>
      <c r="G217" s="139">
        <v>0</v>
      </c>
      <c r="H217" s="139">
        <v>0</v>
      </c>
      <c r="I217" s="139">
        <f>E217+G217</f>
        <v>2</v>
      </c>
      <c r="J217" s="139">
        <f>F217+H217</f>
        <v>6</v>
      </c>
      <c r="K217" s="139">
        <v>0</v>
      </c>
      <c r="L217" s="139">
        <v>1</v>
      </c>
      <c r="M217" s="139">
        <v>0</v>
      </c>
      <c r="N217" s="139">
        <v>2</v>
      </c>
      <c r="O217" s="139">
        <f>(E217*2)+(G217*3)+(K217)</f>
        <v>4</v>
      </c>
      <c r="P217" s="139">
        <f>M217+N217</f>
        <v>2</v>
      </c>
      <c r="Q217" s="139">
        <v>0</v>
      </c>
      <c r="R217" s="139">
        <v>0</v>
      </c>
      <c r="S217" s="139">
        <v>1</v>
      </c>
      <c r="T217" s="139">
        <v>1</v>
      </c>
      <c r="U217" s="139">
        <v>3</v>
      </c>
      <c r="V217" s="140">
        <f>IFERROR((E217+G217)/(F217+H217),0)</f>
        <v>0.33333333333333331</v>
      </c>
      <c r="W217" s="140">
        <f>IFERROR(K217/L217,0)</f>
        <v>0</v>
      </c>
      <c r="X217" s="140">
        <f>IFERROR(E217/F217,0)</f>
        <v>0.33333333333333331</v>
      </c>
      <c r="Y217" s="140">
        <f>IFERROR(G217/H217,0)</f>
        <v>0</v>
      </c>
      <c r="Z217" s="141">
        <f t="shared" ref="Z217" si="416">(O217)+(0.4*I217)-(0.7*J217)-(0.4*(L217-K217))+(0.7*M217)+(0.3*N217)+S217+(0.7*Q217)+(0.7*R217)-(0.4*U217)-T217</f>
        <v>-0.39999999999999969</v>
      </c>
      <c r="AA217" s="98" t="str">
        <f>AA216</f>
        <v>REG</v>
      </c>
    </row>
    <row r="218" spans="1:27" ht="40" customHeight="1" x14ac:dyDescent="0.2">
      <c r="A218" s="96" t="str">
        <f>A217</f>
        <v>MAGIC 1</v>
      </c>
      <c r="B218" s="96">
        <v>6</v>
      </c>
      <c r="C218" s="96">
        <f t="shared" ref="C218:C219" si="417">C217</f>
        <v>5</v>
      </c>
      <c r="D218" s="128" t="s">
        <v>47</v>
      </c>
      <c r="E218" s="149">
        <v>4</v>
      </c>
      <c r="F218" s="149">
        <v>8</v>
      </c>
      <c r="G218" s="149">
        <v>1</v>
      </c>
      <c r="H218" s="149">
        <v>4</v>
      </c>
      <c r="I218" s="149">
        <v>5</v>
      </c>
      <c r="J218" s="149">
        <v>12</v>
      </c>
      <c r="K218" s="149">
        <v>0</v>
      </c>
      <c r="L218" s="149">
        <v>0</v>
      </c>
      <c r="M218" s="149">
        <v>0</v>
      </c>
      <c r="N218" s="149">
        <v>2</v>
      </c>
      <c r="O218" s="149">
        <v>11</v>
      </c>
      <c r="P218" s="149">
        <v>2</v>
      </c>
      <c r="Q218" s="149">
        <v>4</v>
      </c>
      <c r="R218" s="149">
        <v>0</v>
      </c>
      <c r="S218" s="149">
        <v>3</v>
      </c>
      <c r="T218" s="149">
        <v>2</v>
      </c>
      <c r="U218" s="149">
        <v>3</v>
      </c>
      <c r="V218" s="150">
        <v>0.41666666666666669</v>
      </c>
      <c r="W218" s="150">
        <v>0</v>
      </c>
      <c r="X218" s="150">
        <v>0.5</v>
      </c>
      <c r="Y218" s="150">
        <v>0.25</v>
      </c>
      <c r="Z218" s="151">
        <v>7.8000000000000007</v>
      </c>
      <c r="AA218" s="98" t="str">
        <f t="shared" ref="AA218:AA222" si="418">AA217</f>
        <v>REG</v>
      </c>
    </row>
    <row r="219" spans="1:27" ht="40" customHeight="1" x14ac:dyDescent="0.2">
      <c r="A219" s="96" t="str">
        <f t="shared" ref="A219" si="419">A218</f>
        <v>MAGIC 1</v>
      </c>
      <c r="B219" s="96">
        <v>6</v>
      </c>
      <c r="C219" s="96">
        <f t="shared" si="417"/>
        <v>5</v>
      </c>
      <c r="D219" s="128" t="s">
        <v>42</v>
      </c>
      <c r="E219" s="152">
        <v>8</v>
      </c>
      <c r="F219" s="152">
        <v>17</v>
      </c>
      <c r="G219" s="152">
        <v>6</v>
      </c>
      <c r="H219" s="152">
        <v>15</v>
      </c>
      <c r="I219" s="152">
        <v>14</v>
      </c>
      <c r="J219" s="152">
        <v>32</v>
      </c>
      <c r="K219" s="152">
        <v>5</v>
      </c>
      <c r="L219" s="152">
        <v>6</v>
      </c>
      <c r="M219" s="152">
        <v>2</v>
      </c>
      <c r="N219" s="152">
        <v>6</v>
      </c>
      <c r="O219" s="152">
        <v>39</v>
      </c>
      <c r="P219" s="152">
        <v>8</v>
      </c>
      <c r="Q219" s="152">
        <v>4</v>
      </c>
      <c r="R219" s="152">
        <v>0</v>
      </c>
      <c r="S219" s="152">
        <v>0</v>
      </c>
      <c r="T219" s="152">
        <v>1</v>
      </c>
      <c r="U219" s="152">
        <v>1</v>
      </c>
      <c r="V219" s="153">
        <v>0.4375</v>
      </c>
      <c r="W219" s="153">
        <v>0.83333333333333337</v>
      </c>
      <c r="X219" s="153">
        <v>0.47058823529411764</v>
      </c>
      <c r="Y219" s="153">
        <v>0.4</v>
      </c>
      <c r="Z219" s="154">
        <v>26.400000000000006</v>
      </c>
      <c r="AA219" s="98" t="str">
        <f t="shared" si="418"/>
        <v>REG</v>
      </c>
    </row>
    <row r="220" spans="1:27" ht="40" customHeight="1" x14ac:dyDescent="0.2">
      <c r="A220" s="96" t="str">
        <f>A219</f>
        <v>MAGIC 1</v>
      </c>
      <c r="B220" s="96">
        <f>B219</f>
        <v>6</v>
      </c>
      <c r="C220" s="96">
        <f>C219</f>
        <v>5</v>
      </c>
      <c r="D220" s="128" t="s">
        <v>43</v>
      </c>
      <c r="E220" s="155">
        <v>4</v>
      </c>
      <c r="F220" s="155">
        <v>4</v>
      </c>
      <c r="G220" s="155">
        <v>0</v>
      </c>
      <c r="H220" s="155">
        <v>2</v>
      </c>
      <c r="I220" s="155">
        <v>4</v>
      </c>
      <c r="J220" s="155">
        <v>6</v>
      </c>
      <c r="K220" s="155">
        <v>0</v>
      </c>
      <c r="L220" s="155">
        <v>0</v>
      </c>
      <c r="M220" s="155">
        <v>2</v>
      </c>
      <c r="N220" s="155">
        <v>7</v>
      </c>
      <c r="O220" s="155">
        <v>8</v>
      </c>
      <c r="P220" s="155">
        <v>9</v>
      </c>
      <c r="Q220" s="155">
        <v>1</v>
      </c>
      <c r="R220" s="155">
        <v>2</v>
      </c>
      <c r="S220" s="155">
        <v>4</v>
      </c>
      <c r="T220" s="155">
        <v>4</v>
      </c>
      <c r="U220" s="155">
        <v>1</v>
      </c>
      <c r="V220" s="156">
        <v>0.66666666666666663</v>
      </c>
      <c r="W220" s="156">
        <v>0</v>
      </c>
      <c r="X220" s="156">
        <v>1</v>
      </c>
      <c r="Y220" s="156">
        <v>0</v>
      </c>
      <c r="Z220" s="157">
        <v>10.6</v>
      </c>
      <c r="AA220" s="98" t="str">
        <f>AA219</f>
        <v>REG</v>
      </c>
    </row>
    <row r="221" spans="1:27" ht="40" customHeight="1" x14ac:dyDescent="0.2">
      <c r="A221" s="96" t="str">
        <f>A220</f>
        <v>MAGIC 1</v>
      </c>
      <c r="B221" s="96">
        <v>6</v>
      </c>
      <c r="C221" s="96">
        <f>C220</f>
        <v>5</v>
      </c>
      <c r="D221" s="128" t="s">
        <v>54</v>
      </c>
      <c r="E221" s="158">
        <v>2</v>
      </c>
      <c r="F221" s="158">
        <v>4</v>
      </c>
      <c r="G221" s="158">
        <v>0</v>
      </c>
      <c r="H221" s="158">
        <v>1</v>
      </c>
      <c r="I221" s="158">
        <v>2</v>
      </c>
      <c r="J221" s="158">
        <v>5</v>
      </c>
      <c r="K221" s="158">
        <v>0</v>
      </c>
      <c r="L221" s="158">
        <v>0</v>
      </c>
      <c r="M221" s="158">
        <v>3</v>
      </c>
      <c r="N221" s="158">
        <v>9</v>
      </c>
      <c r="O221" s="158">
        <v>4</v>
      </c>
      <c r="P221" s="158">
        <v>12</v>
      </c>
      <c r="Q221" s="158">
        <v>1</v>
      </c>
      <c r="R221" s="158">
        <v>0</v>
      </c>
      <c r="S221" s="158">
        <v>1</v>
      </c>
      <c r="T221" s="158">
        <v>1</v>
      </c>
      <c r="U221" s="158">
        <v>0</v>
      </c>
      <c r="V221" s="159">
        <v>0.4</v>
      </c>
      <c r="W221" s="159">
        <v>0</v>
      </c>
      <c r="X221" s="159">
        <v>0.5</v>
      </c>
      <c r="Y221" s="159">
        <v>0</v>
      </c>
      <c r="Z221" s="160">
        <v>6.8</v>
      </c>
      <c r="AA221" s="100" t="str">
        <f>AA220</f>
        <v>REG</v>
      </c>
    </row>
    <row r="222" spans="1:27" ht="40" customHeight="1" x14ac:dyDescent="0.2">
      <c r="A222" s="96" t="str">
        <f>A221</f>
        <v>MAGIC 1</v>
      </c>
      <c r="B222" s="96">
        <f t="shared" ref="B222" si="420">B221</f>
        <v>6</v>
      </c>
      <c r="C222" s="96">
        <f t="shared" ref="C222" si="421">C221</f>
        <v>5</v>
      </c>
      <c r="D222" s="128" t="s">
        <v>31</v>
      </c>
      <c r="E222" s="142">
        <v>24</v>
      </c>
      <c r="F222" s="142">
        <v>48</v>
      </c>
      <c r="G222" s="142">
        <v>7</v>
      </c>
      <c r="H222" s="142">
        <v>27</v>
      </c>
      <c r="I222" s="142">
        <v>31</v>
      </c>
      <c r="J222" s="142">
        <v>75</v>
      </c>
      <c r="K222" s="142">
        <v>5</v>
      </c>
      <c r="L222" s="142">
        <v>7</v>
      </c>
      <c r="M222" s="142">
        <v>13</v>
      </c>
      <c r="N222" s="142">
        <v>31</v>
      </c>
      <c r="O222" s="142">
        <v>74</v>
      </c>
      <c r="P222" s="142">
        <v>44</v>
      </c>
      <c r="Q222" s="142">
        <v>20</v>
      </c>
      <c r="R222" s="142">
        <v>2</v>
      </c>
      <c r="S222" s="142">
        <v>9</v>
      </c>
      <c r="T222" s="142">
        <v>11</v>
      </c>
      <c r="U222" s="142">
        <v>10</v>
      </c>
      <c r="V222" s="161">
        <v>0.41333333333333333</v>
      </c>
      <c r="W222" s="161">
        <v>0.7142857142857143</v>
      </c>
      <c r="X222" s="161">
        <v>0.5</v>
      </c>
      <c r="Y222" s="161">
        <v>0.25925925925925924</v>
      </c>
      <c r="Z222" s="162">
        <v>10.15</v>
      </c>
      <c r="AA222" s="96" t="str">
        <f t="shared" si="418"/>
        <v>REG</v>
      </c>
    </row>
    <row r="223" spans="1:27" ht="40" customHeight="1" x14ac:dyDescent="0.2">
      <c r="A223" s="96" t="s">
        <v>38</v>
      </c>
      <c r="B223" s="96">
        <f>B222</f>
        <v>6</v>
      </c>
      <c r="C223" s="96">
        <f>C222</f>
        <v>5</v>
      </c>
      <c r="D223" s="163" t="str">
        <f>D200</f>
        <v>MAGIC 1</v>
      </c>
      <c r="E223" s="163"/>
      <c r="F223" s="165"/>
      <c r="G223" s="163"/>
      <c r="H223" s="163"/>
      <c r="I223" s="163"/>
      <c r="J223" s="163"/>
      <c r="K223" s="163"/>
      <c r="L223" s="163"/>
      <c r="M223" s="127"/>
      <c r="N223" s="163"/>
      <c r="O223" s="163">
        <v>67</v>
      </c>
      <c r="P223" s="163"/>
      <c r="Q223" s="163"/>
      <c r="R223" s="163"/>
      <c r="S223" s="163"/>
      <c r="T223" s="163"/>
      <c r="U223" s="163"/>
      <c r="V223" s="163"/>
      <c r="W223" s="163"/>
      <c r="X223" s="163"/>
      <c r="Y223" s="163"/>
      <c r="Z223" s="163"/>
      <c r="AA223" s="98" t="str">
        <f>AA222</f>
        <v>REG</v>
      </c>
    </row>
    <row r="224" spans="1:27" ht="40" customHeight="1" x14ac:dyDescent="0.2">
      <c r="A224" s="96" t="str">
        <f>D230</f>
        <v>LIGHTNING 1</v>
      </c>
      <c r="B224" s="96">
        <v>6</v>
      </c>
      <c r="C224" s="96">
        <f>C216+1</f>
        <v>6</v>
      </c>
      <c r="D224" s="128" t="s">
        <v>40</v>
      </c>
      <c r="E224" s="143">
        <v>13</v>
      </c>
      <c r="F224" s="143">
        <v>25</v>
      </c>
      <c r="G224" s="143">
        <v>0</v>
      </c>
      <c r="H224" s="143">
        <v>1</v>
      </c>
      <c r="I224" s="143">
        <v>13</v>
      </c>
      <c r="J224" s="143">
        <v>26</v>
      </c>
      <c r="K224" s="143">
        <v>3</v>
      </c>
      <c r="L224" s="143">
        <v>6</v>
      </c>
      <c r="M224" s="143">
        <v>7</v>
      </c>
      <c r="N224" s="143">
        <v>16</v>
      </c>
      <c r="O224" s="143">
        <v>29</v>
      </c>
      <c r="P224" s="143">
        <v>23</v>
      </c>
      <c r="Q224" s="143">
        <v>5</v>
      </c>
      <c r="R224" s="143">
        <v>0</v>
      </c>
      <c r="S224" s="143">
        <v>0</v>
      </c>
      <c r="T224" s="143">
        <v>4</v>
      </c>
      <c r="U224" s="143">
        <v>0</v>
      </c>
      <c r="V224" s="144">
        <v>0.5</v>
      </c>
      <c r="W224" s="144">
        <v>0.5</v>
      </c>
      <c r="X224" s="144">
        <v>0.52</v>
      </c>
      <c r="Y224" s="144">
        <v>0</v>
      </c>
      <c r="Z224" s="145">
        <v>24.000000000000004</v>
      </c>
      <c r="AA224" s="98" t="s">
        <v>33</v>
      </c>
    </row>
    <row r="225" spans="1:27" ht="40" customHeight="1" x14ac:dyDescent="0.2">
      <c r="A225" s="96" t="str">
        <f>A224</f>
        <v>LIGHTNING 1</v>
      </c>
      <c r="B225" s="96">
        <v>6</v>
      </c>
      <c r="C225" s="96">
        <f>C224</f>
        <v>6</v>
      </c>
      <c r="D225" s="128" t="s">
        <v>47</v>
      </c>
      <c r="E225" s="149">
        <v>3</v>
      </c>
      <c r="F225" s="149">
        <v>8</v>
      </c>
      <c r="G225" s="149">
        <v>0</v>
      </c>
      <c r="H225" s="149">
        <v>2</v>
      </c>
      <c r="I225" s="149">
        <v>3</v>
      </c>
      <c r="J225" s="149">
        <v>10</v>
      </c>
      <c r="K225" s="149">
        <v>0</v>
      </c>
      <c r="L225" s="149">
        <v>0</v>
      </c>
      <c r="M225" s="149">
        <v>1</v>
      </c>
      <c r="N225" s="149">
        <v>1</v>
      </c>
      <c r="O225" s="149">
        <v>6</v>
      </c>
      <c r="P225" s="149">
        <v>2</v>
      </c>
      <c r="Q225" s="149">
        <v>8</v>
      </c>
      <c r="R225" s="149">
        <v>0</v>
      </c>
      <c r="S225" s="149">
        <v>3</v>
      </c>
      <c r="T225" s="149">
        <v>3</v>
      </c>
      <c r="U225" s="149">
        <v>0</v>
      </c>
      <c r="V225" s="150">
        <v>0.3</v>
      </c>
      <c r="W225" s="150">
        <v>0</v>
      </c>
      <c r="X225" s="150">
        <v>0.375</v>
      </c>
      <c r="Y225" s="150">
        <v>0</v>
      </c>
      <c r="Z225" s="151">
        <v>6.8000000000000007</v>
      </c>
      <c r="AA225" s="98" t="str">
        <f>AA224</f>
        <v>REG</v>
      </c>
    </row>
    <row r="226" spans="1:27" ht="40" customHeight="1" x14ac:dyDescent="0.2">
      <c r="A226" s="96" t="str">
        <f t="shared" ref="A226" si="422">A225</f>
        <v>LIGHTNING 1</v>
      </c>
      <c r="B226" s="96">
        <v>6</v>
      </c>
      <c r="C226" s="96">
        <f t="shared" ref="C226" si="423">C225</f>
        <v>6</v>
      </c>
      <c r="D226" s="128" t="s">
        <v>42</v>
      </c>
      <c r="E226" s="152">
        <v>6</v>
      </c>
      <c r="F226" s="152">
        <v>10</v>
      </c>
      <c r="G226" s="152">
        <v>3</v>
      </c>
      <c r="H226" s="152">
        <v>11</v>
      </c>
      <c r="I226" s="152">
        <v>9</v>
      </c>
      <c r="J226" s="152">
        <v>21</v>
      </c>
      <c r="K226" s="152">
        <v>0</v>
      </c>
      <c r="L226" s="152">
        <v>0</v>
      </c>
      <c r="M226" s="152">
        <v>2</v>
      </c>
      <c r="N226" s="152">
        <v>2</v>
      </c>
      <c r="O226" s="152">
        <v>21</v>
      </c>
      <c r="P226" s="152">
        <v>4</v>
      </c>
      <c r="Q226" s="152">
        <v>3</v>
      </c>
      <c r="R226" s="152">
        <v>1</v>
      </c>
      <c r="S226" s="152">
        <v>0</v>
      </c>
      <c r="T226" s="152">
        <v>1</v>
      </c>
      <c r="U226" s="152">
        <v>0</v>
      </c>
      <c r="V226" s="153">
        <v>0.42857142857142855</v>
      </c>
      <c r="W226" s="153">
        <v>0</v>
      </c>
      <c r="X226" s="153">
        <v>0.6</v>
      </c>
      <c r="Y226" s="153">
        <v>0.27272727272727271</v>
      </c>
      <c r="Z226" s="154">
        <v>13.700000000000001</v>
      </c>
      <c r="AA226" s="98" t="str">
        <f t="shared" ref="AA226:AA229" si="424">AA225</f>
        <v>REG</v>
      </c>
    </row>
    <row r="227" spans="1:27" ht="40" customHeight="1" x14ac:dyDescent="0.2">
      <c r="A227" s="96" t="str">
        <f>A226</f>
        <v>LIGHTNING 1</v>
      </c>
      <c r="B227" s="96">
        <f>B226</f>
        <v>6</v>
      </c>
      <c r="C227" s="96">
        <f>C226</f>
        <v>6</v>
      </c>
      <c r="D227" s="128" t="s">
        <v>43</v>
      </c>
      <c r="E227" s="155">
        <v>5</v>
      </c>
      <c r="F227" s="155">
        <v>9</v>
      </c>
      <c r="G227" s="155">
        <v>0</v>
      </c>
      <c r="H227" s="155">
        <v>3</v>
      </c>
      <c r="I227" s="155">
        <v>5</v>
      </c>
      <c r="J227" s="155">
        <v>12</v>
      </c>
      <c r="K227" s="155">
        <v>0</v>
      </c>
      <c r="L227" s="155">
        <v>0</v>
      </c>
      <c r="M227" s="155">
        <v>1</v>
      </c>
      <c r="N227" s="155">
        <v>10</v>
      </c>
      <c r="O227" s="155">
        <v>10</v>
      </c>
      <c r="P227" s="155">
        <v>11</v>
      </c>
      <c r="Q227" s="155">
        <v>4</v>
      </c>
      <c r="R227" s="155">
        <v>2</v>
      </c>
      <c r="S227" s="155">
        <v>7</v>
      </c>
      <c r="T227" s="155">
        <v>7</v>
      </c>
      <c r="U227" s="155">
        <v>0</v>
      </c>
      <c r="V227" s="156">
        <v>0.41666666666666669</v>
      </c>
      <c r="W227" s="156">
        <v>0</v>
      </c>
      <c r="X227" s="156">
        <v>0.55555555555555558</v>
      </c>
      <c r="Y227" s="156">
        <v>0</v>
      </c>
      <c r="Z227" s="157">
        <v>11.5</v>
      </c>
      <c r="AA227" s="98" t="str">
        <f>AA226</f>
        <v>REG</v>
      </c>
    </row>
    <row r="228" spans="1:27" ht="40" customHeight="1" x14ac:dyDescent="0.2">
      <c r="A228" s="96" t="str">
        <f>A227</f>
        <v>LIGHTNING 1</v>
      </c>
      <c r="B228" s="96">
        <v>6</v>
      </c>
      <c r="C228" s="96">
        <f>C227</f>
        <v>6</v>
      </c>
      <c r="D228" s="128" t="s">
        <v>54</v>
      </c>
      <c r="E228" s="158">
        <v>0</v>
      </c>
      <c r="F228" s="158">
        <v>5</v>
      </c>
      <c r="G228" s="158">
        <v>0</v>
      </c>
      <c r="H228" s="158">
        <v>0</v>
      </c>
      <c r="I228" s="158">
        <v>0</v>
      </c>
      <c r="J228" s="158">
        <v>5</v>
      </c>
      <c r="K228" s="158">
        <v>0</v>
      </c>
      <c r="L228" s="158">
        <v>0</v>
      </c>
      <c r="M228" s="158">
        <v>5</v>
      </c>
      <c r="N228" s="158">
        <v>3</v>
      </c>
      <c r="O228" s="158">
        <v>0</v>
      </c>
      <c r="P228" s="158">
        <v>8</v>
      </c>
      <c r="Q228" s="158">
        <v>1</v>
      </c>
      <c r="R228" s="158">
        <v>1</v>
      </c>
      <c r="S228" s="158">
        <v>0</v>
      </c>
      <c r="T228" s="158">
        <v>2</v>
      </c>
      <c r="U228" s="158">
        <v>0</v>
      </c>
      <c r="V228" s="159">
        <v>0</v>
      </c>
      <c r="W228" s="159">
        <v>0</v>
      </c>
      <c r="X228" s="159">
        <v>0</v>
      </c>
      <c r="Y228" s="159">
        <v>0</v>
      </c>
      <c r="Z228" s="160">
        <v>0.29999999999999982</v>
      </c>
      <c r="AA228" s="100" t="str">
        <f>AA227</f>
        <v>REG</v>
      </c>
    </row>
    <row r="229" spans="1:27" ht="40" customHeight="1" x14ac:dyDescent="0.2">
      <c r="A229" s="96" t="str">
        <f>A228</f>
        <v>LIGHTNING 1</v>
      </c>
      <c r="B229" s="96">
        <f t="shared" ref="B229" si="425">B228</f>
        <v>6</v>
      </c>
      <c r="C229" s="96">
        <f t="shared" ref="C229" si="426">C228</f>
        <v>6</v>
      </c>
      <c r="D229" s="128" t="s">
        <v>31</v>
      </c>
      <c r="E229" s="142">
        <v>27</v>
      </c>
      <c r="F229" s="142">
        <v>57</v>
      </c>
      <c r="G229" s="142">
        <v>3</v>
      </c>
      <c r="H229" s="142">
        <v>17</v>
      </c>
      <c r="I229" s="142">
        <v>30</v>
      </c>
      <c r="J229" s="142">
        <v>74</v>
      </c>
      <c r="K229" s="142">
        <v>3</v>
      </c>
      <c r="L229" s="142">
        <v>6</v>
      </c>
      <c r="M229" s="142">
        <v>16</v>
      </c>
      <c r="N229" s="142">
        <v>32</v>
      </c>
      <c r="O229" s="142">
        <v>66</v>
      </c>
      <c r="P229" s="142">
        <v>48</v>
      </c>
      <c r="Q229" s="142">
        <v>21</v>
      </c>
      <c r="R229" s="142">
        <v>4</v>
      </c>
      <c r="S229" s="142">
        <v>10</v>
      </c>
      <c r="T229" s="142">
        <v>17</v>
      </c>
      <c r="U229" s="142">
        <v>0</v>
      </c>
      <c r="V229" s="161">
        <v>0.40540540540540543</v>
      </c>
      <c r="W229" s="161">
        <v>0.5</v>
      </c>
      <c r="X229" s="161">
        <v>0.47368421052631576</v>
      </c>
      <c r="Y229" s="161">
        <v>0.17647058823529413</v>
      </c>
      <c r="Z229" s="162">
        <v>11.260000000000002</v>
      </c>
      <c r="AA229" s="96" t="str">
        <f t="shared" si="424"/>
        <v>REG</v>
      </c>
    </row>
    <row r="230" spans="1:27" ht="40" customHeight="1" x14ac:dyDescent="0.2">
      <c r="A230" s="96" t="s">
        <v>38</v>
      </c>
      <c r="B230" s="96">
        <f>B229</f>
        <v>6</v>
      </c>
      <c r="C230" s="96">
        <f>C229</f>
        <v>6</v>
      </c>
      <c r="D230" s="163" t="s">
        <v>28</v>
      </c>
      <c r="E230" s="163"/>
      <c r="F230" s="163"/>
      <c r="G230" s="165"/>
      <c r="H230" s="163"/>
      <c r="I230" s="163"/>
      <c r="J230" s="163"/>
      <c r="K230" s="163"/>
      <c r="L230" s="163"/>
      <c r="M230" s="163"/>
      <c r="N230" s="163"/>
      <c r="O230" s="163">
        <v>56</v>
      </c>
      <c r="P230" s="163"/>
      <c r="Q230" s="163"/>
      <c r="R230" s="163"/>
      <c r="S230" s="163"/>
      <c r="T230" s="163"/>
      <c r="U230" s="163"/>
      <c r="V230" s="163"/>
      <c r="W230" s="163"/>
      <c r="X230" s="163"/>
      <c r="Y230" s="163"/>
      <c r="Z230" s="163"/>
      <c r="AA230" s="98" t="str">
        <f>AA229</f>
        <v>REG</v>
      </c>
    </row>
    <row r="231" spans="1:27" ht="40" customHeight="1" x14ac:dyDescent="0.2">
      <c r="A231" s="96" t="str">
        <f>D237</f>
        <v>SAINTS</v>
      </c>
      <c r="B231" s="96">
        <v>6</v>
      </c>
      <c r="C231" s="96">
        <f>C224+1</f>
        <v>7</v>
      </c>
      <c r="D231" s="128" t="s">
        <v>40</v>
      </c>
      <c r="E231" s="143">
        <v>7</v>
      </c>
      <c r="F231" s="143">
        <v>11</v>
      </c>
      <c r="G231" s="143">
        <v>0</v>
      </c>
      <c r="H231" s="143">
        <v>1</v>
      </c>
      <c r="I231" s="143">
        <v>7</v>
      </c>
      <c r="J231" s="143">
        <v>12</v>
      </c>
      <c r="K231" s="143">
        <v>3</v>
      </c>
      <c r="L231" s="143">
        <v>4</v>
      </c>
      <c r="M231" s="143">
        <v>1</v>
      </c>
      <c r="N231" s="143">
        <v>6</v>
      </c>
      <c r="O231" s="143">
        <v>17</v>
      </c>
      <c r="P231" s="143">
        <v>7</v>
      </c>
      <c r="Q231" s="143">
        <v>3</v>
      </c>
      <c r="R231" s="143">
        <v>1</v>
      </c>
      <c r="S231" s="143">
        <v>1</v>
      </c>
      <c r="T231" s="143">
        <v>5</v>
      </c>
      <c r="U231" s="143">
        <v>2</v>
      </c>
      <c r="V231" s="144">
        <v>0.58333333333333337</v>
      </c>
      <c r="W231" s="144">
        <v>0.75</v>
      </c>
      <c r="X231" s="144">
        <v>0.63636363636363635</v>
      </c>
      <c r="Y231" s="144">
        <v>0</v>
      </c>
      <c r="Z231" s="145">
        <v>11.5</v>
      </c>
      <c r="AA231" s="98" t="s">
        <v>33</v>
      </c>
    </row>
    <row r="232" spans="1:27" ht="40" customHeight="1" x14ac:dyDescent="0.2">
      <c r="A232" s="96" t="str">
        <f>A231</f>
        <v>SAINTS</v>
      </c>
      <c r="B232" s="96">
        <v>6</v>
      </c>
      <c r="C232" s="96">
        <f>C231</f>
        <v>7</v>
      </c>
      <c r="D232" s="128" t="s">
        <v>47</v>
      </c>
      <c r="E232" s="149">
        <v>1</v>
      </c>
      <c r="F232" s="149">
        <v>3</v>
      </c>
      <c r="G232" s="149">
        <v>0</v>
      </c>
      <c r="H232" s="149">
        <v>2</v>
      </c>
      <c r="I232" s="149">
        <v>1</v>
      </c>
      <c r="J232" s="149">
        <v>5</v>
      </c>
      <c r="K232" s="149">
        <v>0</v>
      </c>
      <c r="L232" s="149">
        <v>0</v>
      </c>
      <c r="M232" s="149">
        <v>2</v>
      </c>
      <c r="N232" s="149">
        <v>3</v>
      </c>
      <c r="O232" s="149">
        <v>2</v>
      </c>
      <c r="P232" s="149">
        <v>5</v>
      </c>
      <c r="Q232" s="149">
        <v>1</v>
      </c>
      <c r="R232" s="149">
        <v>0</v>
      </c>
      <c r="S232" s="149">
        <v>0</v>
      </c>
      <c r="T232" s="149">
        <v>2</v>
      </c>
      <c r="U232" s="149">
        <v>1</v>
      </c>
      <c r="V232" s="150">
        <v>0.2</v>
      </c>
      <c r="W232" s="150">
        <v>0</v>
      </c>
      <c r="X232" s="150">
        <v>0.33333333333333331</v>
      </c>
      <c r="Y232" s="150">
        <v>0</v>
      </c>
      <c r="Z232" s="151">
        <v>-0.50000000000000044</v>
      </c>
      <c r="AA232" s="98" t="str">
        <f>AA231</f>
        <v>REG</v>
      </c>
    </row>
    <row r="233" spans="1:27" ht="40" customHeight="1" x14ac:dyDescent="0.2">
      <c r="A233" s="96" t="str">
        <f t="shared" ref="A233" si="427">A232</f>
        <v>SAINTS</v>
      </c>
      <c r="B233" s="96">
        <v>6</v>
      </c>
      <c r="C233" s="96">
        <f t="shared" ref="C233" si="428">C232</f>
        <v>7</v>
      </c>
      <c r="D233" s="128" t="s">
        <v>42</v>
      </c>
      <c r="E233" s="152">
        <v>2</v>
      </c>
      <c r="F233" s="152">
        <v>6</v>
      </c>
      <c r="G233" s="152">
        <v>4</v>
      </c>
      <c r="H233" s="152">
        <v>7</v>
      </c>
      <c r="I233" s="152">
        <v>6</v>
      </c>
      <c r="J233" s="152">
        <v>13</v>
      </c>
      <c r="K233" s="152">
        <v>2</v>
      </c>
      <c r="L233" s="152">
        <v>2</v>
      </c>
      <c r="M233" s="152"/>
      <c r="N233" s="152">
        <v>2</v>
      </c>
      <c r="O233" s="152">
        <v>18</v>
      </c>
      <c r="P233" s="152">
        <v>2</v>
      </c>
      <c r="Q233" s="152">
        <v>2</v>
      </c>
      <c r="R233" s="152">
        <v>1</v>
      </c>
      <c r="S233" s="152">
        <v>1</v>
      </c>
      <c r="T233" s="152">
        <v>0</v>
      </c>
      <c r="U233" s="152">
        <v>2</v>
      </c>
      <c r="V233" s="153">
        <v>0.46153846153846156</v>
      </c>
      <c r="W233" s="153">
        <v>1</v>
      </c>
      <c r="X233" s="153">
        <v>0.33333333333333331</v>
      </c>
      <c r="Y233" s="153">
        <v>0.5714285714285714</v>
      </c>
      <c r="Z233" s="154">
        <v>14.199999999999998</v>
      </c>
      <c r="AA233" s="98" t="str">
        <f t="shared" ref="AA233:AA236" si="429">AA232</f>
        <v>REG</v>
      </c>
    </row>
    <row r="234" spans="1:27" ht="40" customHeight="1" x14ac:dyDescent="0.2">
      <c r="A234" s="96" t="str">
        <f>A233</f>
        <v>SAINTS</v>
      </c>
      <c r="B234" s="96">
        <f>B233</f>
        <v>6</v>
      </c>
      <c r="C234" s="96">
        <f>C233</f>
        <v>7</v>
      </c>
      <c r="D234" s="128" t="s">
        <v>43</v>
      </c>
      <c r="E234" s="155">
        <v>3</v>
      </c>
      <c r="F234" s="155">
        <v>4</v>
      </c>
      <c r="G234" s="155">
        <v>2</v>
      </c>
      <c r="H234" s="155">
        <v>4</v>
      </c>
      <c r="I234" s="155">
        <v>5</v>
      </c>
      <c r="J234" s="155">
        <v>8</v>
      </c>
      <c r="K234" s="155">
        <v>1</v>
      </c>
      <c r="L234" s="155">
        <v>2</v>
      </c>
      <c r="M234" s="155">
        <v>1</v>
      </c>
      <c r="N234" s="155">
        <v>4</v>
      </c>
      <c r="O234" s="155">
        <v>13</v>
      </c>
      <c r="P234" s="155">
        <v>5</v>
      </c>
      <c r="Q234" s="155">
        <v>4</v>
      </c>
      <c r="R234" s="155">
        <v>3</v>
      </c>
      <c r="S234" s="155">
        <v>2</v>
      </c>
      <c r="T234" s="155">
        <v>1</v>
      </c>
      <c r="U234" s="155">
        <v>4</v>
      </c>
      <c r="V234" s="156">
        <v>0.625</v>
      </c>
      <c r="W234" s="156">
        <v>0.5</v>
      </c>
      <c r="X234" s="156">
        <v>0.75</v>
      </c>
      <c r="Y234" s="156">
        <v>0.5</v>
      </c>
      <c r="Z234" s="157">
        <v>15.199999999999996</v>
      </c>
      <c r="AA234" s="98" t="str">
        <f>AA233</f>
        <v>REG</v>
      </c>
    </row>
    <row r="235" spans="1:27" ht="40" customHeight="1" x14ac:dyDescent="0.2">
      <c r="A235" s="96" t="str">
        <f>A234</f>
        <v>SAINTS</v>
      </c>
      <c r="B235" s="96">
        <v>6</v>
      </c>
      <c r="C235" s="96">
        <f>C234</f>
        <v>7</v>
      </c>
      <c r="D235" s="128" t="s">
        <v>54</v>
      </c>
      <c r="E235" s="158">
        <v>0</v>
      </c>
      <c r="F235" s="158">
        <v>2</v>
      </c>
      <c r="G235" s="158">
        <v>0</v>
      </c>
      <c r="H235" s="158">
        <v>0</v>
      </c>
      <c r="I235" s="158">
        <v>0</v>
      </c>
      <c r="J235" s="158">
        <v>2</v>
      </c>
      <c r="K235" s="158">
        <v>0</v>
      </c>
      <c r="L235" s="158">
        <v>0</v>
      </c>
      <c r="M235" s="158">
        <v>2</v>
      </c>
      <c r="N235" s="158">
        <v>1</v>
      </c>
      <c r="O235" s="158">
        <v>0</v>
      </c>
      <c r="P235" s="158">
        <v>3</v>
      </c>
      <c r="Q235" s="158">
        <v>2</v>
      </c>
      <c r="R235" s="158">
        <v>0</v>
      </c>
      <c r="S235" s="158">
        <v>1</v>
      </c>
      <c r="T235" s="158">
        <v>0</v>
      </c>
      <c r="U235" s="158">
        <v>1</v>
      </c>
      <c r="V235" s="159">
        <v>0</v>
      </c>
      <c r="W235" s="159">
        <v>0</v>
      </c>
      <c r="X235" s="159">
        <v>0</v>
      </c>
      <c r="Y235" s="159">
        <v>0</v>
      </c>
      <c r="Z235" s="160">
        <v>2.3000000000000003</v>
      </c>
      <c r="AA235" s="100" t="str">
        <f>AA234</f>
        <v>REG</v>
      </c>
    </row>
    <row r="236" spans="1:27" ht="40" customHeight="1" x14ac:dyDescent="0.2">
      <c r="A236" s="96" t="str">
        <f>A235</f>
        <v>SAINTS</v>
      </c>
      <c r="B236" s="96">
        <f t="shared" ref="B236" si="430">B235</f>
        <v>6</v>
      </c>
      <c r="C236" s="96">
        <f t="shared" ref="C236" si="431">C235</f>
        <v>7</v>
      </c>
      <c r="D236" s="128" t="s">
        <v>31</v>
      </c>
      <c r="E236" s="142">
        <v>14</v>
      </c>
      <c r="F236" s="142">
        <v>28</v>
      </c>
      <c r="G236" s="142">
        <v>6</v>
      </c>
      <c r="H236" s="142">
        <v>16</v>
      </c>
      <c r="I236" s="142">
        <v>20</v>
      </c>
      <c r="J236" s="142">
        <v>44</v>
      </c>
      <c r="K236" s="142">
        <v>7</v>
      </c>
      <c r="L236" s="142">
        <v>10</v>
      </c>
      <c r="M236" s="142">
        <v>9</v>
      </c>
      <c r="N236" s="142">
        <v>17</v>
      </c>
      <c r="O236" s="142">
        <v>53</v>
      </c>
      <c r="P236" s="142">
        <v>26</v>
      </c>
      <c r="Q236" s="142">
        <v>15</v>
      </c>
      <c r="R236" s="142">
        <v>5</v>
      </c>
      <c r="S236" s="142">
        <v>5</v>
      </c>
      <c r="T236" s="142">
        <v>9</v>
      </c>
      <c r="U236" s="142">
        <v>10</v>
      </c>
      <c r="V236" s="161">
        <v>0.45454545454545453</v>
      </c>
      <c r="W236" s="161">
        <v>0.7</v>
      </c>
      <c r="X236" s="161">
        <v>0.5</v>
      </c>
      <c r="Y236" s="161">
        <v>0.375</v>
      </c>
      <c r="Z236" s="162">
        <v>7.7333333333333316</v>
      </c>
      <c r="AA236" s="96" t="str">
        <f t="shared" si="429"/>
        <v>REG</v>
      </c>
    </row>
    <row r="237" spans="1:27" ht="40" customHeight="1" x14ac:dyDescent="0.2">
      <c r="A237" s="96" t="s">
        <v>38</v>
      </c>
      <c r="B237" s="96">
        <f>B236</f>
        <v>6</v>
      </c>
      <c r="C237" s="96">
        <f>C236</f>
        <v>7</v>
      </c>
      <c r="D237" s="163" t="s">
        <v>24</v>
      </c>
      <c r="E237" s="163"/>
      <c r="F237" s="165"/>
      <c r="G237" s="163"/>
      <c r="H237" s="163"/>
      <c r="I237" s="163"/>
      <c r="J237" s="163"/>
      <c r="K237" s="163"/>
      <c r="L237" s="163"/>
      <c r="M237" s="163"/>
      <c r="N237" s="163"/>
      <c r="O237" s="163">
        <v>52</v>
      </c>
      <c r="P237" s="163"/>
      <c r="Q237" s="163"/>
      <c r="R237" s="163"/>
      <c r="S237" s="163"/>
      <c r="T237" s="163"/>
      <c r="U237" s="163"/>
      <c r="V237" s="163"/>
      <c r="W237" s="163"/>
      <c r="X237" s="163"/>
      <c r="Y237" s="163"/>
      <c r="Z237" s="163"/>
      <c r="AA237" s="98" t="str">
        <f>AA236</f>
        <v>REG</v>
      </c>
    </row>
    <row r="238" spans="1:27" ht="40" customHeight="1" x14ac:dyDescent="0.2">
      <c r="A238" s="96" t="str">
        <f>D244</f>
        <v>MAGIC 1</v>
      </c>
      <c r="B238" s="96">
        <v>6</v>
      </c>
      <c r="C238" s="96">
        <f>C231+1</f>
        <v>8</v>
      </c>
      <c r="D238" s="128" t="s">
        <v>40</v>
      </c>
      <c r="E238" s="143">
        <v>6</v>
      </c>
      <c r="F238" s="143">
        <v>17</v>
      </c>
      <c r="G238" s="143">
        <v>0</v>
      </c>
      <c r="H238" s="143">
        <v>5</v>
      </c>
      <c r="I238" s="143">
        <v>6</v>
      </c>
      <c r="J238" s="143">
        <v>22</v>
      </c>
      <c r="K238" s="143">
        <v>0</v>
      </c>
      <c r="L238" s="143">
        <v>0</v>
      </c>
      <c r="M238" s="143">
        <v>3</v>
      </c>
      <c r="N238" s="143">
        <v>6</v>
      </c>
      <c r="O238" s="143">
        <v>12</v>
      </c>
      <c r="P238" s="143">
        <v>9</v>
      </c>
      <c r="Q238" s="143">
        <v>9</v>
      </c>
      <c r="R238" s="143">
        <v>0</v>
      </c>
      <c r="S238" s="143">
        <v>0</v>
      </c>
      <c r="T238" s="143">
        <v>4</v>
      </c>
      <c r="U238" s="143">
        <v>0</v>
      </c>
      <c r="V238" s="144">
        <v>0.27272727272727271</v>
      </c>
      <c r="W238" s="144">
        <v>0</v>
      </c>
      <c r="X238" s="144">
        <v>0.35294117647058826</v>
      </c>
      <c r="Y238" s="144">
        <v>0</v>
      </c>
      <c r="Z238" s="145">
        <v>5.2000000000000011</v>
      </c>
      <c r="AA238" s="98" t="s">
        <v>33</v>
      </c>
    </row>
    <row r="239" spans="1:27" ht="40" customHeight="1" x14ac:dyDescent="0.2">
      <c r="A239" s="96" t="str">
        <f>A238</f>
        <v>MAGIC 1</v>
      </c>
      <c r="B239" s="96">
        <v>6</v>
      </c>
      <c r="C239" s="96">
        <f>C238</f>
        <v>8</v>
      </c>
      <c r="D239" s="128" t="s">
        <v>55</v>
      </c>
      <c r="E239" s="132">
        <v>3</v>
      </c>
      <c r="F239" s="132">
        <v>6</v>
      </c>
      <c r="G239" s="132">
        <v>0</v>
      </c>
      <c r="H239" s="132">
        <v>2</v>
      </c>
      <c r="I239" s="132">
        <f t="shared" ref="I239:J239" si="432">E239+G239</f>
        <v>3</v>
      </c>
      <c r="J239" s="132">
        <f t="shared" si="432"/>
        <v>8</v>
      </c>
      <c r="K239" s="132">
        <v>0</v>
      </c>
      <c r="L239" s="132">
        <v>0</v>
      </c>
      <c r="M239" s="132">
        <v>1</v>
      </c>
      <c r="N239" s="132">
        <v>2</v>
      </c>
      <c r="O239" s="132">
        <f>(E239*2)+(G239*3)+(K239)</f>
        <v>6</v>
      </c>
      <c r="P239" s="132">
        <f>M239+N239</f>
        <v>3</v>
      </c>
      <c r="Q239" s="132">
        <v>0</v>
      </c>
      <c r="R239" s="132">
        <v>1</v>
      </c>
      <c r="S239" s="132">
        <v>1</v>
      </c>
      <c r="T239" s="132">
        <v>0</v>
      </c>
      <c r="U239" s="132">
        <v>1</v>
      </c>
      <c r="V239" s="133">
        <f t="shared" ref="V239" si="433">IFERROR((E239+G239)/(F239+H239),0)</f>
        <v>0.375</v>
      </c>
      <c r="W239" s="133">
        <f t="shared" ref="W239" si="434">IFERROR(K239/L239,0)</f>
        <v>0</v>
      </c>
      <c r="X239" s="133">
        <f t="shared" ref="X239" si="435">E239/F239</f>
        <v>0.5</v>
      </c>
      <c r="Y239" s="133">
        <f t="shared" ref="Y239" si="436">IFERROR(G239/H239,0)</f>
        <v>0</v>
      </c>
      <c r="Z239" s="134">
        <f t="shared" ref="Z239" si="437">(O239)+(0.4*I239)-(0.7*J239)-(0.4*(L239-K239))+(0.7*M239)+(0.3*N239)+S239+(0.7*Q239)+(0.7*R239)-(0.4*U239)-T239</f>
        <v>4.2</v>
      </c>
      <c r="AA239" s="98" t="str">
        <f>AA238</f>
        <v>REG</v>
      </c>
    </row>
    <row r="240" spans="1:27" ht="40" customHeight="1" x14ac:dyDescent="0.2">
      <c r="A240" s="96" t="str">
        <f>A239</f>
        <v>MAGIC 1</v>
      </c>
      <c r="B240" s="96">
        <v>6</v>
      </c>
      <c r="C240" s="96">
        <f t="shared" ref="C240:C241" si="438">C239</f>
        <v>8</v>
      </c>
      <c r="D240" s="128" t="s">
        <v>47</v>
      </c>
      <c r="E240" s="149">
        <v>4</v>
      </c>
      <c r="F240" s="149">
        <v>7</v>
      </c>
      <c r="G240" s="149">
        <v>0</v>
      </c>
      <c r="H240" s="149">
        <v>2</v>
      </c>
      <c r="I240" s="149">
        <v>4</v>
      </c>
      <c r="J240" s="149">
        <v>9</v>
      </c>
      <c r="K240" s="149">
        <v>0</v>
      </c>
      <c r="L240" s="149">
        <v>1</v>
      </c>
      <c r="M240" s="149">
        <v>2</v>
      </c>
      <c r="N240" s="149">
        <v>2</v>
      </c>
      <c r="O240" s="149">
        <v>8</v>
      </c>
      <c r="P240" s="149">
        <v>4</v>
      </c>
      <c r="Q240" s="149">
        <v>6</v>
      </c>
      <c r="R240" s="149">
        <v>0</v>
      </c>
      <c r="S240" s="149">
        <v>3</v>
      </c>
      <c r="T240" s="149">
        <v>3</v>
      </c>
      <c r="U240" s="149">
        <v>3</v>
      </c>
      <c r="V240" s="150">
        <v>0.44444444444444442</v>
      </c>
      <c r="W240" s="150">
        <v>0</v>
      </c>
      <c r="X240" s="150">
        <v>0.5714285714285714</v>
      </c>
      <c r="Y240" s="150">
        <v>0</v>
      </c>
      <c r="Z240" s="151">
        <v>7.8999999999999986</v>
      </c>
      <c r="AA240" s="98" t="str">
        <f t="shared" ref="AA240:AA241" si="439">AA239</f>
        <v>REG</v>
      </c>
    </row>
    <row r="241" spans="1:27" ht="40" customHeight="1" x14ac:dyDescent="0.2">
      <c r="A241" s="96" t="str">
        <f t="shared" ref="A241" si="440">A240</f>
        <v>MAGIC 1</v>
      </c>
      <c r="B241" s="96">
        <v>6</v>
      </c>
      <c r="C241" s="96">
        <f t="shared" si="438"/>
        <v>8</v>
      </c>
      <c r="D241" s="128" t="s">
        <v>42</v>
      </c>
      <c r="E241" s="152">
        <v>9</v>
      </c>
      <c r="F241" s="152">
        <v>10</v>
      </c>
      <c r="G241" s="152">
        <v>1</v>
      </c>
      <c r="H241" s="152">
        <v>7</v>
      </c>
      <c r="I241" s="152">
        <v>10</v>
      </c>
      <c r="J241" s="152">
        <v>17</v>
      </c>
      <c r="K241" s="152">
        <v>3</v>
      </c>
      <c r="L241" s="152">
        <v>5</v>
      </c>
      <c r="M241" s="152">
        <v>1</v>
      </c>
      <c r="N241" s="152">
        <v>9</v>
      </c>
      <c r="O241" s="152">
        <v>24</v>
      </c>
      <c r="P241" s="152">
        <v>10</v>
      </c>
      <c r="Q241" s="152">
        <v>5</v>
      </c>
      <c r="R241" s="152">
        <v>2</v>
      </c>
      <c r="S241" s="152">
        <v>4</v>
      </c>
      <c r="T241" s="152">
        <v>3</v>
      </c>
      <c r="U241" s="152">
        <v>1</v>
      </c>
      <c r="V241" s="153">
        <v>0.58823529411764708</v>
      </c>
      <c r="W241" s="153">
        <v>0.6</v>
      </c>
      <c r="X241" s="153">
        <v>0.9</v>
      </c>
      <c r="Y241" s="153">
        <v>0.14285714285714285</v>
      </c>
      <c r="Z241" s="154">
        <v>24.2</v>
      </c>
      <c r="AA241" s="98" t="str">
        <f t="shared" si="439"/>
        <v>REG</v>
      </c>
    </row>
    <row r="242" spans="1:27" ht="40" customHeight="1" x14ac:dyDescent="0.2">
      <c r="A242" s="96" t="str">
        <f t="shared" ref="A242:C243" si="441">A241</f>
        <v>MAGIC 1</v>
      </c>
      <c r="B242" s="96">
        <f t="shared" si="441"/>
        <v>6</v>
      </c>
      <c r="C242" s="96">
        <f t="shared" si="441"/>
        <v>8</v>
      </c>
      <c r="D242" s="128" t="s">
        <v>43</v>
      </c>
      <c r="E242" s="155">
        <v>1</v>
      </c>
      <c r="F242" s="155">
        <v>4</v>
      </c>
      <c r="G242" s="155">
        <v>2</v>
      </c>
      <c r="H242" s="155">
        <v>4</v>
      </c>
      <c r="I242" s="155">
        <v>3</v>
      </c>
      <c r="J242" s="155">
        <v>8</v>
      </c>
      <c r="K242" s="155">
        <v>0</v>
      </c>
      <c r="L242" s="155">
        <v>2</v>
      </c>
      <c r="M242" s="155">
        <v>3</v>
      </c>
      <c r="N242" s="155">
        <v>8</v>
      </c>
      <c r="O242" s="155">
        <v>8</v>
      </c>
      <c r="P242" s="155">
        <v>11</v>
      </c>
      <c r="Q242" s="155">
        <v>3</v>
      </c>
      <c r="R242" s="155">
        <v>4</v>
      </c>
      <c r="S242" s="155">
        <v>2</v>
      </c>
      <c r="T242" s="155">
        <v>3</v>
      </c>
      <c r="U242" s="155">
        <v>3</v>
      </c>
      <c r="V242" s="156">
        <v>0.375</v>
      </c>
      <c r="W242" s="156">
        <v>0</v>
      </c>
      <c r="X242" s="156">
        <v>0.25</v>
      </c>
      <c r="Y242" s="156">
        <v>0.5</v>
      </c>
      <c r="Z242" s="157">
        <v>10</v>
      </c>
      <c r="AA242" s="98" t="str">
        <f>AA241</f>
        <v>REG</v>
      </c>
    </row>
    <row r="243" spans="1:27" ht="40" customHeight="1" x14ac:dyDescent="0.2">
      <c r="A243" s="96" t="str">
        <f t="shared" si="441"/>
        <v>MAGIC 1</v>
      </c>
      <c r="B243" s="96">
        <f t="shared" si="441"/>
        <v>6</v>
      </c>
      <c r="C243" s="96">
        <f t="shared" si="441"/>
        <v>8</v>
      </c>
      <c r="D243" s="128" t="s">
        <v>31</v>
      </c>
      <c r="E243" s="142">
        <v>23</v>
      </c>
      <c r="F243" s="142">
        <v>44</v>
      </c>
      <c r="G243" s="142">
        <v>3</v>
      </c>
      <c r="H243" s="142">
        <v>20</v>
      </c>
      <c r="I243" s="142">
        <v>26</v>
      </c>
      <c r="J243" s="142">
        <v>64</v>
      </c>
      <c r="K243" s="142">
        <v>3</v>
      </c>
      <c r="L243" s="142">
        <v>8</v>
      </c>
      <c r="M243" s="142">
        <v>10</v>
      </c>
      <c r="N243" s="142">
        <v>27</v>
      </c>
      <c r="O243" s="142">
        <v>58</v>
      </c>
      <c r="P243" s="142">
        <v>37</v>
      </c>
      <c r="Q243" s="142">
        <v>23</v>
      </c>
      <c r="R243" s="142">
        <v>7</v>
      </c>
      <c r="S243" s="142">
        <v>10</v>
      </c>
      <c r="T243" s="142">
        <v>13</v>
      </c>
      <c r="U243" s="142">
        <v>8</v>
      </c>
      <c r="V243" s="161">
        <v>0.40625</v>
      </c>
      <c r="W243" s="161">
        <v>0.375</v>
      </c>
      <c r="X243" s="161">
        <v>0.52272727272727271</v>
      </c>
      <c r="Y243" s="161">
        <v>0.15</v>
      </c>
      <c r="Z243" s="162">
        <v>10.3</v>
      </c>
      <c r="AA243" s="100" t="str">
        <f>AA242</f>
        <v>REG</v>
      </c>
    </row>
    <row r="244" spans="1:27" ht="40" customHeight="1" x14ac:dyDescent="0.2">
      <c r="A244" s="96" t="s">
        <v>38</v>
      </c>
      <c r="B244" s="96">
        <f>B243</f>
        <v>6</v>
      </c>
      <c r="C244" s="96">
        <f>C243</f>
        <v>8</v>
      </c>
      <c r="D244" s="163" t="s">
        <v>35</v>
      </c>
      <c r="E244" s="163"/>
      <c r="F244" s="164"/>
      <c r="G244" s="163"/>
      <c r="H244" s="163"/>
      <c r="I244" s="163"/>
      <c r="J244" s="163"/>
      <c r="K244" s="163"/>
      <c r="L244" s="163"/>
      <c r="M244" s="163"/>
      <c r="N244" s="163"/>
      <c r="O244" s="163">
        <v>62</v>
      </c>
      <c r="P244" s="163"/>
      <c r="Q244" s="163"/>
      <c r="R244" s="163"/>
      <c r="S244" s="163"/>
      <c r="T244" s="163"/>
      <c r="U244" s="163"/>
      <c r="V244" s="163"/>
      <c r="W244" s="163"/>
      <c r="X244" s="163"/>
      <c r="Y244" s="163"/>
      <c r="Z244" s="163"/>
      <c r="AA244" s="98" t="str">
        <f>AA243</f>
        <v>REG</v>
      </c>
    </row>
    <row r="245" spans="1:27" ht="40" customHeight="1" x14ac:dyDescent="0.2">
      <c r="A245" s="96" t="str">
        <f>D251</f>
        <v>LIGHTNING 1</v>
      </c>
      <c r="B245" s="96">
        <v>6</v>
      </c>
      <c r="C245" s="96">
        <f>C238+1</f>
        <v>9</v>
      </c>
      <c r="D245" s="128" t="s">
        <v>40</v>
      </c>
      <c r="E245" s="143">
        <v>5</v>
      </c>
      <c r="F245" s="143">
        <v>15</v>
      </c>
      <c r="G245" s="143">
        <v>1</v>
      </c>
      <c r="H245" s="143">
        <v>4</v>
      </c>
      <c r="I245" s="143">
        <v>6</v>
      </c>
      <c r="J245" s="143">
        <v>19</v>
      </c>
      <c r="K245" s="143">
        <v>2</v>
      </c>
      <c r="L245" s="143">
        <v>5</v>
      </c>
      <c r="M245" s="143">
        <v>3</v>
      </c>
      <c r="N245" s="143">
        <v>6</v>
      </c>
      <c r="O245" s="143">
        <v>15</v>
      </c>
      <c r="P245" s="143">
        <v>9</v>
      </c>
      <c r="Q245" s="143">
        <v>7</v>
      </c>
      <c r="R245" s="143">
        <v>0</v>
      </c>
      <c r="S245" s="143">
        <v>3</v>
      </c>
      <c r="T245" s="143">
        <v>3</v>
      </c>
      <c r="U245" s="143">
        <v>0</v>
      </c>
      <c r="V245" s="144">
        <v>0.31578947368421051</v>
      </c>
      <c r="W245" s="144">
        <v>0.4</v>
      </c>
      <c r="X245" s="144">
        <v>0.33333333333333331</v>
      </c>
      <c r="Y245" s="144">
        <v>0.25</v>
      </c>
      <c r="Z245" s="145">
        <v>11.7</v>
      </c>
      <c r="AA245" s="98" t="s">
        <v>33</v>
      </c>
    </row>
    <row r="246" spans="1:27" ht="40" customHeight="1" x14ac:dyDescent="0.2">
      <c r="A246" s="96" t="str">
        <f>A245</f>
        <v>LIGHTNING 1</v>
      </c>
      <c r="B246" s="96">
        <v>6</v>
      </c>
      <c r="C246" s="96">
        <f>C245</f>
        <v>9</v>
      </c>
      <c r="D246" s="128" t="s">
        <v>47</v>
      </c>
      <c r="E246" s="149">
        <v>0</v>
      </c>
      <c r="F246" s="149">
        <v>2</v>
      </c>
      <c r="G246" s="149">
        <v>1</v>
      </c>
      <c r="H246" s="149">
        <v>5</v>
      </c>
      <c r="I246" s="149">
        <v>1</v>
      </c>
      <c r="J246" s="149">
        <v>7</v>
      </c>
      <c r="K246" s="149">
        <v>0</v>
      </c>
      <c r="L246" s="149">
        <v>0</v>
      </c>
      <c r="M246" s="149">
        <v>0</v>
      </c>
      <c r="N246" s="149">
        <v>2</v>
      </c>
      <c r="O246" s="149">
        <v>3</v>
      </c>
      <c r="P246" s="149">
        <v>2</v>
      </c>
      <c r="Q246" s="149">
        <v>1</v>
      </c>
      <c r="R246" s="149">
        <v>0</v>
      </c>
      <c r="S246" s="149">
        <v>1</v>
      </c>
      <c r="T246" s="149">
        <v>3</v>
      </c>
      <c r="U246" s="149">
        <v>2</v>
      </c>
      <c r="V246" s="150">
        <v>0.14285714285714285</v>
      </c>
      <c r="W246" s="150">
        <v>0</v>
      </c>
      <c r="X246" s="150">
        <v>0</v>
      </c>
      <c r="Y246" s="150">
        <v>0.2</v>
      </c>
      <c r="Z246" s="151">
        <v>-2.9999999999999996</v>
      </c>
      <c r="AA246" s="98" t="str">
        <f>AA245</f>
        <v>REG</v>
      </c>
    </row>
    <row r="247" spans="1:27" ht="40" customHeight="1" x14ac:dyDescent="0.2">
      <c r="A247" s="96" t="str">
        <f t="shared" ref="A247" si="442">A246</f>
        <v>LIGHTNING 1</v>
      </c>
      <c r="B247" s="96">
        <v>6</v>
      </c>
      <c r="C247" s="96">
        <f t="shared" ref="C247" si="443">C246</f>
        <v>9</v>
      </c>
      <c r="D247" s="128" t="s">
        <v>42</v>
      </c>
      <c r="E247" s="152">
        <v>5</v>
      </c>
      <c r="F247" s="152">
        <v>12</v>
      </c>
      <c r="G247" s="152">
        <v>3</v>
      </c>
      <c r="H247" s="152">
        <v>12</v>
      </c>
      <c r="I247" s="152">
        <v>8</v>
      </c>
      <c r="J247" s="152">
        <v>24</v>
      </c>
      <c r="K247" s="152">
        <v>1</v>
      </c>
      <c r="L247" s="152">
        <v>1</v>
      </c>
      <c r="M247" s="152">
        <v>2</v>
      </c>
      <c r="N247" s="152">
        <v>5</v>
      </c>
      <c r="O247" s="152">
        <v>20</v>
      </c>
      <c r="P247" s="152">
        <v>7</v>
      </c>
      <c r="Q247" s="152">
        <v>4</v>
      </c>
      <c r="R247" s="152">
        <v>0</v>
      </c>
      <c r="S247" s="152">
        <v>0</v>
      </c>
      <c r="T247" s="152">
        <v>1</v>
      </c>
      <c r="U247" s="152">
        <v>0</v>
      </c>
      <c r="V247" s="153">
        <v>0.33333333333333331</v>
      </c>
      <c r="W247" s="153">
        <v>1</v>
      </c>
      <c r="X247" s="153">
        <v>0.41666666666666669</v>
      </c>
      <c r="Y247" s="153">
        <v>0.25</v>
      </c>
      <c r="Z247" s="154">
        <v>11.100000000000001</v>
      </c>
      <c r="AA247" s="98" t="str">
        <f t="shared" ref="AA247:AA250" si="444">AA246</f>
        <v>REG</v>
      </c>
    </row>
    <row r="248" spans="1:27" ht="40" customHeight="1" x14ac:dyDescent="0.2">
      <c r="A248" s="96" t="str">
        <f>A247</f>
        <v>LIGHTNING 1</v>
      </c>
      <c r="B248" s="96">
        <f>B247</f>
        <v>6</v>
      </c>
      <c r="C248" s="96">
        <f>C247</f>
        <v>9</v>
      </c>
      <c r="D248" s="128" t="s">
        <v>43</v>
      </c>
      <c r="E248" s="155">
        <v>4</v>
      </c>
      <c r="F248" s="155">
        <v>9</v>
      </c>
      <c r="G248" s="155">
        <v>0</v>
      </c>
      <c r="H248" s="155">
        <v>5</v>
      </c>
      <c r="I248" s="155">
        <v>4</v>
      </c>
      <c r="J248" s="155">
        <v>14</v>
      </c>
      <c r="K248" s="155">
        <v>0</v>
      </c>
      <c r="L248" s="155">
        <v>0</v>
      </c>
      <c r="M248" s="155">
        <v>4</v>
      </c>
      <c r="N248" s="155">
        <v>7</v>
      </c>
      <c r="O248" s="155">
        <v>8</v>
      </c>
      <c r="P248" s="155">
        <v>11</v>
      </c>
      <c r="Q248" s="155">
        <v>2</v>
      </c>
      <c r="R248" s="155">
        <v>1</v>
      </c>
      <c r="S248" s="155">
        <v>2</v>
      </c>
      <c r="T248" s="155">
        <v>2</v>
      </c>
      <c r="U248" s="155">
        <v>0</v>
      </c>
      <c r="V248" s="156">
        <v>0.2857142857142857</v>
      </c>
      <c r="W248" s="156">
        <v>0</v>
      </c>
      <c r="X248" s="156">
        <v>0.44444444444444442</v>
      </c>
      <c r="Y248" s="156">
        <v>0</v>
      </c>
      <c r="Z248" s="157">
        <v>6.8000000000000007</v>
      </c>
      <c r="AA248" s="98" t="str">
        <f>AA247</f>
        <v>REG</v>
      </c>
    </row>
    <row r="249" spans="1:27" ht="40" customHeight="1" x14ac:dyDescent="0.2">
      <c r="A249" s="96" t="str">
        <f>A248</f>
        <v>LIGHTNING 1</v>
      </c>
      <c r="B249" s="96">
        <v>6</v>
      </c>
      <c r="C249" s="96">
        <f>C248</f>
        <v>9</v>
      </c>
      <c r="D249" s="128" t="s">
        <v>54</v>
      </c>
      <c r="E249" s="158">
        <v>0</v>
      </c>
      <c r="F249" s="158">
        <v>3</v>
      </c>
      <c r="G249" s="158">
        <v>2</v>
      </c>
      <c r="H249" s="158">
        <v>2</v>
      </c>
      <c r="I249" s="158">
        <v>2</v>
      </c>
      <c r="J249" s="158">
        <v>5</v>
      </c>
      <c r="K249" s="158">
        <v>0</v>
      </c>
      <c r="L249" s="158">
        <v>0</v>
      </c>
      <c r="M249" s="158">
        <v>5</v>
      </c>
      <c r="N249" s="158">
        <v>9</v>
      </c>
      <c r="O249" s="158">
        <v>6</v>
      </c>
      <c r="P249" s="158">
        <v>14</v>
      </c>
      <c r="Q249" s="158">
        <v>1</v>
      </c>
      <c r="R249" s="158">
        <v>0</v>
      </c>
      <c r="S249" s="158">
        <v>0</v>
      </c>
      <c r="T249" s="158">
        <v>2</v>
      </c>
      <c r="U249" s="158">
        <v>0</v>
      </c>
      <c r="V249" s="159">
        <v>0.4</v>
      </c>
      <c r="W249" s="159">
        <v>0</v>
      </c>
      <c r="X249" s="159">
        <v>0</v>
      </c>
      <c r="Y249" s="159">
        <v>1</v>
      </c>
      <c r="Z249" s="160">
        <v>8.1999999999999993</v>
      </c>
      <c r="AA249" s="100" t="str">
        <f>AA248</f>
        <v>REG</v>
      </c>
    </row>
    <row r="250" spans="1:27" ht="40" customHeight="1" x14ac:dyDescent="0.2">
      <c r="A250" s="96" t="str">
        <f>A249</f>
        <v>LIGHTNING 1</v>
      </c>
      <c r="B250" s="96">
        <f t="shared" ref="B250" si="445">B249</f>
        <v>6</v>
      </c>
      <c r="C250" s="96">
        <f t="shared" ref="C250" si="446">C249</f>
        <v>9</v>
      </c>
      <c r="D250" s="128" t="s">
        <v>31</v>
      </c>
      <c r="E250" s="142">
        <v>14</v>
      </c>
      <c r="F250" s="142">
        <v>41</v>
      </c>
      <c r="G250" s="142">
        <v>7</v>
      </c>
      <c r="H250" s="142">
        <v>28</v>
      </c>
      <c r="I250" s="142">
        <v>21</v>
      </c>
      <c r="J250" s="142">
        <v>69</v>
      </c>
      <c r="K250" s="142">
        <v>3</v>
      </c>
      <c r="L250" s="142">
        <v>6</v>
      </c>
      <c r="M250" s="142">
        <v>14</v>
      </c>
      <c r="N250" s="142">
        <v>29</v>
      </c>
      <c r="O250" s="142">
        <v>52</v>
      </c>
      <c r="P250" s="142">
        <v>43</v>
      </c>
      <c r="Q250" s="142">
        <v>15</v>
      </c>
      <c r="R250" s="142">
        <v>1</v>
      </c>
      <c r="S250" s="142">
        <v>6</v>
      </c>
      <c r="T250" s="142">
        <v>11</v>
      </c>
      <c r="U250" s="142">
        <v>2</v>
      </c>
      <c r="V250" s="161">
        <v>0.30434782608695654</v>
      </c>
      <c r="W250" s="161">
        <v>0.5</v>
      </c>
      <c r="X250" s="161">
        <v>0.34146341463414637</v>
      </c>
      <c r="Y250" s="161">
        <v>0.25</v>
      </c>
      <c r="Z250" s="162">
        <v>6.9599999999999991</v>
      </c>
      <c r="AA250" s="96" t="str">
        <f t="shared" si="444"/>
        <v>REG</v>
      </c>
    </row>
    <row r="251" spans="1:27" ht="40" customHeight="1" x14ac:dyDescent="0.2">
      <c r="A251" s="96" t="s">
        <v>38</v>
      </c>
      <c r="B251" s="96">
        <f>B250</f>
        <v>6</v>
      </c>
      <c r="C251" s="96">
        <f>C250</f>
        <v>9</v>
      </c>
      <c r="D251" s="163" t="s">
        <v>28</v>
      </c>
      <c r="E251" s="163"/>
      <c r="F251" s="163"/>
      <c r="G251" s="164"/>
      <c r="H251" s="163"/>
      <c r="I251" s="163"/>
      <c r="J251" s="163"/>
      <c r="K251" s="163"/>
      <c r="L251" s="163"/>
      <c r="M251" s="163"/>
      <c r="N251" s="163"/>
      <c r="O251" s="163">
        <v>60</v>
      </c>
      <c r="P251" s="163"/>
      <c r="Q251" s="163"/>
      <c r="R251" s="163"/>
      <c r="S251" s="163"/>
      <c r="T251" s="163"/>
      <c r="U251" s="163"/>
      <c r="V251" s="163"/>
      <c r="W251" s="163"/>
      <c r="X251" s="163"/>
      <c r="Y251" s="163"/>
      <c r="Z251" s="163"/>
      <c r="AA251" s="98" t="str">
        <f>AA250</f>
        <v>REG</v>
      </c>
    </row>
    <row r="252" spans="1:27" ht="40" customHeight="1" x14ac:dyDescent="0.2">
      <c r="A252" s="96" t="str">
        <f>D259</f>
        <v>SAINTS</v>
      </c>
      <c r="B252" s="96">
        <v>6</v>
      </c>
      <c r="C252" s="96">
        <f>C245+1</f>
        <v>10</v>
      </c>
      <c r="D252" s="128" t="s">
        <v>40</v>
      </c>
      <c r="E252" s="143">
        <v>7</v>
      </c>
      <c r="F252" s="143">
        <v>13</v>
      </c>
      <c r="G252" s="143">
        <v>1</v>
      </c>
      <c r="H252" s="143">
        <v>7</v>
      </c>
      <c r="I252" s="143">
        <v>8</v>
      </c>
      <c r="J252" s="143">
        <v>20</v>
      </c>
      <c r="K252" s="143">
        <v>1</v>
      </c>
      <c r="L252" s="143">
        <v>2</v>
      </c>
      <c r="M252" s="143">
        <v>3</v>
      </c>
      <c r="N252" s="143">
        <v>1</v>
      </c>
      <c r="O252" s="143">
        <v>18</v>
      </c>
      <c r="P252" s="143">
        <v>4</v>
      </c>
      <c r="Q252" s="143">
        <v>2</v>
      </c>
      <c r="R252" s="143">
        <v>0</v>
      </c>
      <c r="S252" s="143">
        <v>2</v>
      </c>
      <c r="T252" s="143">
        <v>2</v>
      </c>
      <c r="U252" s="143">
        <v>2</v>
      </c>
      <c r="V252" s="144">
        <v>0.4</v>
      </c>
      <c r="W252" s="144">
        <v>0.5</v>
      </c>
      <c r="X252" s="144">
        <v>0.53846153846153844</v>
      </c>
      <c r="Y252" s="144">
        <v>0.14285714285714285</v>
      </c>
      <c r="Z252" s="145">
        <v>9.7999999999999989</v>
      </c>
      <c r="AA252" s="98" t="s">
        <v>33</v>
      </c>
    </row>
    <row r="253" spans="1:27" ht="40" customHeight="1" x14ac:dyDescent="0.2">
      <c r="A253" s="96" t="str">
        <f>A252</f>
        <v>SAINTS</v>
      </c>
      <c r="B253" s="96">
        <v>6</v>
      </c>
      <c r="C253" s="96">
        <f>C252</f>
        <v>10</v>
      </c>
      <c r="D253" s="128" t="s">
        <v>48</v>
      </c>
      <c r="E253" s="146">
        <v>3</v>
      </c>
      <c r="F253" s="146">
        <v>15</v>
      </c>
      <c r="G253" s="146">
        <v>2</v>
      </c>
      <c r="H253" s="146">
        <v>9</v>
      </c>
      <c r="I253" s="146">
        <v>5</v>
      </c>
      <c r="J253" s="146">
        <v>24</v>
      </c>
      <c r="K253" s="146">
        <v>0</v>
      </c>
      <c r="L253" s="146">
        <v>0</v>
      </c>
      <c r="M253" s="146">
        <v>3</v>
      </c>
      <c r="N253" s="146">
        <v>7</v>
      </c>
      <c r="O253" s="146">
        <v>12</v>
      </c>
      <c r="P253" s="146">
        <v>10</v>
      </c>
      <c r="Q253" s="146">
        <v>4</v>
      </c>
      <c r="R253" s="146">
        <v>0</v>
      </c>
      <c r="S253" s="146">
        <v>1</v>
      </c>
      <c r="T253" s="146">
        <v>2</v>
      </c>
      <c r="U253" s="146">
        <v>1</v>
      </c>
      <c r="V253" s="147">
        <v>0.20833333333333334</v>
      </c>
      <c r="W253" s="147">
        <v>0</v>
      </c>
      <c r="X253" s="147">
        <v>0.2</v>
      </c>
      <c r="Y253" s="147">
        <v>0.22222222222222221</v>
      </c>
      <c r="Z253" s="148">
        <v>2.8000000000000025</v>
      </c>
      <c r="AA253" s="98" t="str">
        <f>AA252</f>
        <v>REG</v>
      </c>
    </row>
    <row r="254" spans="1:27" ht="40" customHeight="1" x14ac:dyDescent="0.2">
      <c r="A254" s="96" t="str">
        <f>A253</f>
        <v>SAINTS</v>
      </c>
      <c r="B254" s="96">
        <v>6</v>
      </c>
      <c r="C254" s="96">
        <f t="shared" ref="C254:C255" si="447">C253</f>
        <v>10</v>
      </c>
      <c r="D254" s="128" t="s">
        <v>47</v>
      </c>
      <c r="E254" s="149">
        <v>1</v>
      </c>
      <c r="F254" s="149">
        <v>3</v>
      </c>
      <c r="G254" s="149">
        <v>0</v>
      </c>
      <c r="H254" s="149">
        <v>1</v>
      </c>
      <c r="I254" s="149">
        <v>1</v>
      </c>
      <c r="J254" s="149">
        <v>4</v>
      </c>
      <c r="K254" s="149">
        <v>0</v>
      </c>
      <c r="L254" s="149">
        <v>0</v>
      </c>
      <c r="M254" s="149">
        <v>0</v>
      </c>
      <c r="N254" s="149">
        <v>6</v>
      </c>
      <c r="O254" s="149">
        <v>2</v>
      </c>
      <c r="P254" s="149">
        <v>6</v>
      </c>
      <c r="Q254" s="149">
        <v>3</v>
      </c>
      <c r="R254" s="149">
        <v>0</v>
      </c>
      <c r="S254" s="149">
        <v>2</v>
      </c>
      <c r="T254" s="149">
        <v>2</v>
      </c>
      <c r="U254" s="149">
        <v>2</v>
      </c>
      <c r="V254" s="150">
        <v>0.25</v>
      </c>
      <c r="W254" s="150">
        <v>0</v>
      </c>
      <c r="X254" s="150">
        <v>0.33333333333333331</v>
      </c>
      <c r="Y254" s="150">
        <v>0</v>
      </c>
      <c r="Z254" s="151">
        <v>2.7</v>
      </c>
      <c r="AA254" s="98" t="str">
        <f t="shared" ref="AA254:AA258" si="448">AA253</f>
        <v>REG</v>
      </c>
    </row>
    <row r="255" spans="1:27" ht="40" customHeight="1" x14ac:dyDescent="0.2">
      <c r="A255" s="96" t="str">
        <f t="shared" ref="A255" si="449">A254</f>
        <v>SAINTS</v>
      </c>
      <c r="B255" s="96">
        <v>6</v>
      </c>
      <c r="C255" s="96">
        <f t="shared" si="447"/>
        <v>10</v>
      </c>
      <c r="D255" s="128" t="s">
        <v>42</v>
      </c>
      <c r="E255" s="152">
        <v>1</v>
      </c>
      <c r="F255" s="152">
        <v>3</v>
      </c>
      <c r="G255" s="152">
        <v>1</v>
      </c>
      <c r="H255" s="152">
        <v>11</v>
      </c>
      <c r="I255" s="152">
        <v>2</v>
      </c>
      <c r="J255" s="152">
        <v>14</v>
      </c>
      <c r="K255" s="152">
        <v>0</v>
      </c>
      <c r="L255" s="152">
        <v>0</v>
      </c>
      <c r="M255" s="152">
        <v>1</v>
      </c>
      <c r="N255" s="152">
        <v>6</v>
      </c>
      <c r="O255" s="152">
        <v>5</v>
      </c>
      <c r="P255" s="152">
        <v>7</v>
      </c>
      <c r="Q255" s="152">
        <v>2</v>
      </c>
      <c r="R255" s="152">
        <v>1</v>
      </c>
      <c r="S255" s="152">
        <v>0</v>
      </c>
      <c r="T255" s="152">
        <v>1</v>
      </c>
      <c r="U255" s="152">
        <v>0</v>
      </c>
      <c r="V255" s="153">
        <v>0.14285714285714285</v>
      </c>
      <c r="W255" s="153">
        <v>0</v>
      </c>
      <c r="X255" s="153">
        <v>0.33333333333333331</v>
      </c>
      <c r="Y255" s="153">
        <v>9.0909090909090912E-2</v>
      </c>
      <c r="Z255" s="154">
        <v>-0.39999999999999925</v>
      </c>
      <c r="AA255" s="98" t="str">
        <f t="shared" si="448"/>
        <v>REG</v>
      </c>
    </row>
    <row r="256" spans="1:27" ht="40" customHeight="1" x14ac:dyDescent="0.2">
      <c r="A256" s="96" t="str">
        <f>A255</f>
        <v>SAINTS</v>
      </c>
      <c r="B256" s="96">
        <f>B255</f>
        <v>6</v>
      </c>
      <c r="C256" s="96">
        <f>C255</f>
        <v>10</v>
      </c>
      <c r="D256" s="128" t="s">
        <v>49</v>
      </c>
      <c r="E256" s="139">
        <v>1</v>
      </c>
      <c r="F256" s="139">
        <v>3</v>
      </c>
      <c r="G256" s="139">
        <v>0</v>
      </c>
      <c r="H256" s="139">
        <v>1</v>
      </c>
      <c r="I256" s="139">
        <f>E256+G256</f>
        <v>1</v>
      </c>
      <c r="J256" s="139">
        <f>F256+H256</f>
        <v>4</v>
      </c>
      <c r="K256" s="139">
        <v>0</v>
      </c>
      <c r="L256" s="139">
        <v>0</v>
      </c>
      <c r="M256" s="139">
        <v>1</v>
      </c>
      <c r="N256" s="139">
        <v>1</v>
      </c>
      <c r="O256" s="139">
        <f>(E256*2)+(G256*3)+(K256)</f>
        <v>2</v>
      </c>
      <c r="P256" s="139">
        <f>M256+N256</f>
        <v>2</v>
      </c>
      <c r="Q256" s="139">
        <v>1</v>
      </c>
      <c r="R256" s="139">
        <v>0</v>
      </c>
      <c r="S256" s="139">
        <v>0</v>
      </c>
      <c r="T256" s="139">
        <v>0</v>
      </c>
      <c r="U256" s="139">
        <v>1</v>
      </c>
      <c r="V256" s="140">
        <f>IFERROR((E256+G256)/(F256+H256),0)</f>
        <v>0.25</v>
      </c>
      <c r="W256" s="140">
        <f>IFERROR(K256/L256,0)</f>
        <v>0</v>
      </c>
      <c r="X256" s="140">
        <f>E256/F256</f>
        <v>0.33333333333333331</v>
      </c>
      <c r="Y256" s="140">
        <f>IFERROR(G256/H256,0)</f>
        <v>0</v>
      </c>
      <c r="Z256" s="141">
        <f>(O256)+(0.4*I256)-(0.7*J256)-(0.4*(L256-K256))+(0.7*M256)+(0.3*N256)+S256+(0.7*Q256)+(0.7*R256)-(0.4*U256)-T256</f>
        <v>0.9</v>
      </c>
      <c r="AA256" s="98" t="str">
        <f>AA255</f>
        <v>REG</v>
      </c>
    </row>
    <row r="257" spans="1:27" ht="40" customHeight="1" x14ac:dyDescent="0.2">
      <c r="A257" s="96" t="str">
        <f>A256</f>
        <v>SAINTS</v>
      </c>
      <c r="B257" s="96">
        <v>6</v>
      </c>
      <c r="C257" s="96">
        <f>C256</f>
        <v>10</v>
      </c>
      <c r="D257" s="128" t="s">
        <v>54</v>
      </c>
      <c r="E257" s="158">
        <v>2</v>
      </c>
      <c r="F257" s="158">
        <v>5</v>
      </c>
      <c r="G257" s="158">
        <v>2</v>
      </c>
      <c r="H257" s="158">
        <v>3</v>
      </c>
      <c r="I257" s="158">
        <v>4</v>
      </c>
      <c r="J257" s="158">
        <v>8</v>
      </c>
      <c r="K257" s="158">
        <v>0</v>
      </c>
      <c r="L257" s="158">
        <v>0</v>
      </c>
      <c r="M257" s="158">
        <v>5</v>
      </c>
      <c r="N257" s="158">
        <v>5</v>
      </c>
      <c r="O257" s="158">
        <v>10</v>
      </c>
      <c r="P257" s="158">
        <v>10</v>
      </c>
      <c r="Q257" s="158">
        <v>0</v>
      </c>
      <c r="R257" s="158">
        <v>0</v>
      </c>
      <c r="S257" s="158">
        <v>1</v>
      </c>
      <c r="T257" s="158">
        <v>3</v>
      </c>
      <c r="U257" s="158">
        <v>0</v>
      </c>
      <c r="V257" s="159">
        <v>0.5</v>
      </c>
      <c r="W257" s="159">
        <v>0</v>
      </c>
      <c r="X257" s="159">
        <v>0.4</v>
      </c>
      <c r="Y257" s="159">
        <v>0.66666666666666663</v>
      </c>
      <c r="Z257" s="160">
        <v>9</v>
      </c>
      <c r="AA257" s="100" t="str">
        <f>AA256</f>
        <v>REG</v>
      </c>
    </row>
    <row r="258" spans="1:27" ht="40" customHeight="1" x14ac:dyDescent="0.2">
      <c r="A258" s="96" t="str">
        <f>A257</f>
        <v>SAINTS</v>
      </c>
      <c r="B258" s="96">
        <f t="shared" ref="B258" si="450">B257</f>
        <v>6</v>
      </c>
      <c r="C258" s="96">
        <f t="shared" ref="C258" si="451">C257</f>
        <v>10</v>
      </c>
      <c r="D258" s="128" t="s">
        <v>31</v>
      </c>
      <c r="E258" s="142">
        <v>15</v>
      </c>
      <c r="F258" s="142">
        <v>42</v>
      </c>
      <c r="G258" s="142">
        <v>6</v>
      </c>
      <c r="H258" s="142">
        <v>32</v>
      </c>
      <c r="I258" s="142">
        <v>21</v>
      </c>
      <c r="J258" s="142">
        <v>74</v>
      </c>
      <c r="K258" s="142">
        <v>1</v>
      </c>
      <c r="L258" s="142">
        <v>2</v>
      </c>
      <c r="M258" s="142">
        <v>13</v>
      </c>
      <c r="N258" s="142">
        <v>26</v>
      </c>
      <c r="O258" s="142">
        <v>49</v>
      </c>
      <c r="P258" s="142">
        <v>39</v>
      </c>
      <c r="Q258" s="142">
        <v>12</v>
      </c>
      <c r="R258" s="142">
        <v>1</v>
      </c>
      <c r="S258" s="142">
        <v>6</v>
      </c>
      <c r="T258" s="142">
        <v>10</v>
      </c>
      <c r="U258" s="142">
        <v>6</v>
      </c>
      <c r="V258" s="161">
        <v>0.28378378378378377</v>
      </c>
      <c r="W258" s="161">
        <v>0.5</v>
      </c>
      <c r="X258" s="161">
        <v>0.35714285714285715</v>
      </c>
      <c r="Y258" s="161">
        <v>0.1875</v>
      </c>
      <c r="Z258" s="162">
        <v>4.1333333333333337</v>
      </c>
      <c r="AA258" s="96" t="str">
        <f t="shared" si="448"/>
        <v>REG</v>
      </c>
    </row>
    <row r="259" spans="1:27" ht="40" customHeight="1" x14ac:dyDescent="0.2">
      <c r="A259" s="96" t="s">
        <v>38</v>
      </c>
      <c r="B259" s="96">
        <f>B258</f>
        <v>6</v>
      </c>
      <c r="C259" s="96">
        <f>C258</f>
        <v>10</v>
      </c>
      <c r="D259" s="163" t="s">
        <v>24</v>
      </c>
      <c r="E259" s="163"/>
      <c r="F259" s="164"/>
      <c r="G259" s="163"/>
      <c r="H259" s="163"/>
      <c r="I259" s="163"/>
      <c r="J259" s="163"/>
      <c r="K259" s="163"/>
      <c r="L259" s="163"/>
      <c r="M259" s="163"/>
      <c r="N259" s="163"/>
      <c r="O259" s="163">
        <v>66</v>
      </c>
      <c r="P259" s="163"/>
      <c r="Q259" s="163"/>
      <c r="R259" s="163"/>
      <c r="S259" s="163"/>
      <c r="T259" s="163"/>
      <c r="U259" s="163"/>
      <c r="V259" s="163"/>
      <c r="W259" s="163"/>
      <c r="X259" s="163"/>
      <c r="Y259" s="163"/>
      <c r="Z259" s="163"/>
      <c r="AA259" s="98" t="str">
        <f>AA258</f>
        <v>REG</v>
      </c>
    </row>
    <row r="260" spans="1:27" ht="40" customHeight="1" x14ac:dyDescent="0.2">
      <c r="A260" s="96" t="str">
        <f>D266</f>
        <v>MAGIC 1</v>
      </c>
      <c r="B260" s="96">
        <v>6</v>
      </c>
      <c r="C260" s="96">
        <f>C252+1</f>
        <v>11</v>
      </c>
      <c r="D260" s="128" t="s">
        <v>40</v>
      </c>
      <c r="E260" s="143">
        <v>14</v>
      </c>
      <c r="F260" s="143">
        <v>27</v>
      </c>
      <c r="G260" s="143">
        <v>3</v>
      </c>
      <c r="H260" s="143">
        <v>5</v>
      </c>
      <c r="I260" s="143">
        <v>17</v>
      </c>
      <c r="J260" s="143">
        <v>32</v>
      </c>
      <c r="K260" s="143">
        <v>2</v>
      </c>
      <c r="L260" s="143">
        <v>2</v>
      </c>
      <c r="M260" s="143">
        <v>11</v>
      </c>
      <c r="N260" s="143">
        <v>5</v>
      </c>
      <c r="O260" s="143">
        <v>39</v>
      </c>
      <c r="P260" s="143">
        <v>16</v>
      </c>
      <c r="Q260" s="143">
        <v>7</v>
      </c>
      <c r="R260" s="143">
        <v>0</v>
      </c>
      <c r="S260" s="143">
        <v>0</v>
      </c>
      <c r="T260" s="143">
        <v>5</v>
      </c>
      <c r="U260" s="143">
        <v>4</v>
      </c>
      <c r="V260" s="144">
        <v>0.53125</v>
      </c>
      <c r="W260" s="144">
        <v>1</v>
      </c>
      <c r="X260" s="144">
        <v>0.51851851851851849</v>
      </c>
      <c r="Y260" s="144">
        <v>0.6</v>
      </c>
      <c r="Z260" s="145">
        <v>30.899999999999991</v>
      </c>
      <c r="AA260" s="98" t="s">
        <v>33</v>
      </c>
    </row>
    <row r="261" spans="1:27" ht="40" customHeight="1" x14ac:dyDescent="0.2">
      <c r="A261" s="96" t="str">
        <f>A260</f>
        <v>MAGIC 1</v>
      </c>
      <c r="B261" s="96">
        <v>6</v>
      </c>
      <c r="C261" s="96">
        <f>C260</f>
        <v>11</v>
      </c>
      <c r="D261" s="128" t="s">
        <v>48</v>
      </c>
      <c r="E261" s="146">
        <v>2</v>
      </c>
      <c r="F261" s="146">
        <v>12</v>
      </c>
      <c r="G261" s="146">
        <v>0</v>
      </c>
      <c r="H261" s="146">
        <v>6</v>
      </c>
      <c r="I261" s="146">
        <v>2</v>
      </c>
      <c r="J261" s="146">
        <v>18</v>
      </c>
      <c r="K261" s="146">
        <v>0</v>
      </c>
      <c r="L261" s="146">
        <v>0</v>
      </c>
      <c r="M261" s="146">
        <v>5</v>
      </c>
      <c r="N261" s="146">
        <v>3</v>
      </c>
      <c r="O261" s="146">
        <v>4</v>
      </c>
      <c r="P261" s="146">
        <v>8</v>
      </c>
      <c r="Q261" s="146">
        <v>6</v>
      </c>
      <c r="R261" s="146">
        <v>0</v>
      </c>
      <c r="S261" s="146">
        <v>1</v>
      </c>
      <c r="T261" s="146">
        <v>0</v>
      </c>
      <c r="U261" s="146">
        <v>4</v>
      </c>
      <c r="V261" s="147">
        <v>0.1111111111111111</v>
      </c>
      <c r="W261" s="147">
        <v>0</v>
      </c>
      <c r="X261" s="147">
        <v>0.16666666666666666</v>
      </c>
      <c r="Y261" s="147">
        <v>0</v>
      </c>
      <c r="Z261" s="148">
        <v>0.19999999999999929</v>
      </c>
      <c r="AA261" s="98" t="str">
        <f>AA260</f>
        <v>REG</v>
      </c>
    </row>
    <row r="262" spans="1:27" ht="40" customHeight="1" x14ac:dyDescent="0.2">
      <c r="A262" s="96" t="str">
        <f>A261</f>
        <v>MAGIC 1</v>
      </c>
      <c r="B262" s="96">
        <v>6</v>
      </c>
      <c r="C262" s="96">
        <f t="shared" ref="C262:C263" si="452">C261</f>
        <v>11</v>
      </c>
      <c r="D262" s="128" t="s">
        <v>47</v>
      </c>
      <c r="E262" s="149">
        <v>2</v>
      </c>
      <c r="F262" s="149">
        <v>4</v>
      </c>
      <c r="G262" s="149">
        <v>0</v>
      </c>
      <c r="H262" s="149">
        <v>2</v>
      </c>
      <c r="I262" s="149">
        <v>2</v>
      </c>
      <c r="J262" s="149">
        <v>6</v>
      </c>
      <c r="K262" s="149">
        <v>1</v>
      </c>
      <c r="L262" s="149">
        <v>2</v>
      </c>
      <c r="M262" s="149">
        <v>3</v>
      </c>
      <c r="N262" s="149">
        <v>5</v>
      </c>
      <c r="O262" s="149">
        <v>5</v>
      </c>
      <c r="P262" s="149">
        <v>8</v>
      </c>
      <c r="Q262" s="149">
        <v>1</v>
      </c>
      <c r="R262" s="149">
        <v>0</v>
      </c>
      <c r="S262" s="149">
        <v>1</v>
      </c>
      <c r="T262" s="149">
        <v>2</v>
      </c>
      <c r="U262" s="149">
        <v>2</v>
      </c>
      <c r="V262" s="150">
        <v>0.33333333333333331</v>
      </c>
      <c r="W262" s="150">
        <v>0.5</v>
      </c>
      <c r="X262" s="150">
        <v>0.5</v>
      </c>
      <c r="Y262" s="150">
        <v>0</v>
      </c>
      <c r="Z262" s="151">
        <v>3.7000000000000011</v>
      </c>
      <c r="AA262" s="98" t="str">
        <f t="shared" ref="AA262:AA265" si="453">AA261</f>
        <v>REG</v>
      </c>
    </row>
    <row r="263" spans="1:27" ht="40" customHeight="1" x14ac:dyDescent="0.2">
      <c r="A263" s="96" t="str">
        <f t="shared" ref="A263" si="454">A262</f>
        <v>MAGIC 1</v>
      </c>
      <c r="B263" s="96">
        <v>6</v>
      </c>
      <c r="C263" s="96">
        <f t="shared" si="452"/>
        <v>11</v>
      </c>
      <c r="D263" s="128" t="s">
        <v>55</v>
      </c>
      <c r="E263" s="132">
        <v>1</v>
      </c>
      <c r="F263" s="132">
        <v>5</v>
      </c>
      <c r="G263" s="132">
        <v>0</v>
      </c>
      <c r="H263" s="132">
        <v>2</v>
      </c>
      <c r="I263" s="132">
        <f t="shared" ref="I263:J263" si="455">E263+G263</f>
        <v>1</v>
      </c>
      <c r="J263" s="132">
        <f t="shared" si="455"/>
        <v>7</v>
      </c>
      <c r="K263" s="132">
        <v>0</v>
      </c>
      <c r="L263" s="132">
        <v>2</v>
      </c>
      <c r="M263" s="132">
        <v>5</v>
      </c>
      <c r="N263" s="132">
        <v>3</v>
      </c>
      <c r="O263" s="132">
        <f>(E263*2)+(G263*3)+(K263)</f>
        <v>2</v>
      </c>
      <c r="P263" s="132">
        <f>M263+N263</f>
        <v>8</v>
      </c>
      <c r="Q263" s="132">
        <v>1</v>
      </c>
      <c r="R263" s="132">
        <v>0</v>
      </c>
      <c r="S263" s="132">
        <v>2</v>
      </c>
      <c r="T263" s="132">
        <v>1</v>
      </c>
      <c r="U263" s="132">
        <v>1</v>
      </c>
      <c r="V263" s="133">
        <f t="shared" ref="V263" si="456">IFERROR((E263+G263)/(F263+H263),0)</f>
        <v>0.14285714285714285</v>
      </c>
      <c r="W263" s="133">
        <f t="shared" ref="W263" si="457">IFERROR(K263/L263,0)</f>
        <v>0</v>
      </c>
      <c r="X263" s="133">
        <f t="shared" ref="X263" si="458">E263/F263</f>
        <v>0.2</v>
      </c>
      <c r="Y263" s="133">
        <f t="shared" ref="Y263" si="459">IFERROR(G263/H263,0)</f>
        <v>0</v>
      </c>
      <c r="Z263" s="134">
        <f t="shared" ref="Z263" si="460">(O263)+(0.4*I263)-(0.7*J263)-(0.4*(L263-K263))+(0.7*M263)+(0.3*N263)+S263+(0.7*Q263)+(0.7*R263)-(0.4*U263)-T263</f>
        <v>2.4</v>
      </c>
      <c r="AA263" s="98" t="str">
        <f t="shared" si="453"/>
        <v>REG</v>
      </c>
    </row>
    <row r="264" spans="1:27" ht="40" customHeight="1" x14ac:dyDescent="0.2">
      <c r="A264" s="96" t="str">
        <f>A263</f>
        <v>MAGIC 1</v>
      </c>
      <c r="B264" s="96">
        <v>6</v>
      </c>
      <c r="C264" s="96">
        <f>C263</f>
        <v>11</v>
      </c>
      <c r="D264" s="128" t="s">
        <v>54</v>
      </c>
      <c r="E264" s="158">
        <v>4</v>
      </c>
      <c r="F264" s="158">
        <v>9</v>
      </c>
      <c r="G264" s="158">
        <v>2</v>
      </c>
      <c r="H264" s="158">
        <v>5</v>
      </c>
      <c r="I264" s="158">
        <v>6</v>
      </c>
      <c r="J264" s="158">
        <v>14</v>
      </c>
      <c r="K264" s="158">
        <v>0</v>
      </c>
      <c r="L264" s="158">
        <v>0</v>
      </c>
      <c r="M264" s="158">
        <v>2</v>
      </c>
      <c r="N264" s="158">
        <v>5</v>
      </c>
      <c r="O264" s="158">
        <v>14</v>
      </c>
      <c r="P264" s="158">
        <v>7</v>
      </c>
      <c r="Q264" s="158">
        <v>2</v>
      </c>
      <c r="R264" s="158">
        <v>1</v>
      </c>
      <c r="S264" s="158">
        <v>0</v>
      </c>
      <c r="T264" s="158">
        <v>0</v>
      </c>
      <c r="U264" s="158">
        <v>2</v>
      </c>
      <c r="V264" s="159">
        <v>0.42857142857142855</v>
      </c>
      <c r="W264" s="159">
        <v>0</v>
      </c>
      <c r="X264" s="159">
        <v>0.44444444444444442</v>
      </c>
      <c r="Y264" s="159">
        <v>0.4</v>
      </c>
      <c r="Z264" s="160">
        <v>10.799999999999999</v>
      </c>
      <c r="AA264" s="100" t="str">
        <f>AA263</f>
        <v>REG</v>
      </c>
    </row>
    <row r="265" spans="1:27" ht="40" customHeight="1" x14ac:dyDescent="0.2">
      <c r="A265" s="96" t="str">
        <f>A264</f>
        <v>MAGIC 1</v>
      </c>
      <c r="B265" s="96">
        <f t="shared" ref="B265" si="461">B264</f>
        <v>6</v>
      </c>
      <c r="C265" s="96">
        <f t="shared" ref="C265" si="462">C264</f>
        <v>11</v>
      </c>
      <c r="D265" s="128" t="s">
        <v>31</v>
      </c>
      <c r="E265" s="142">
        <v>23</v>
      </c>
      <c r="F265" s="142">
        <v>57</v>
      </c>
      <c r="G265" s="142">
        <v>5</v>
      </c>
      <c r="H265" s="142">
        <v>20</v>
      </c>
      <c r="I265" s="142">
        <v>28</v>
      </c>
      <c r="J265" s="142">
        <v>77</v>
      </c>
      <c r="K265" s="142">
        <v>3</v>
      </c>
      <c r="L265" s="142">
        <v>6</v>
      </c>
      <c r="M265" s="142">
        <v>26</v>
      </c>
      <c r="N265" s="142">
        <v>21</v>
      </c>
      <c r="O265" s="142">
        <v>64</v>
      </c>
      <c r="P265" s="142">
        <v>47</v>
      </c>
      <c r="Q265" s="142">
        <v>17</v>
      </c>
      <c r="R265" s="142">
        <v>1</v>
      </c>
      <c r="S265" s="142">
        <v>4</v>
      </c>
      <c r="T265" s="142">
        <v>8</v>
      </c>
      <c r="U265" s="142">
        <v>13</v>
      </c>
      <c r="V265" s="161">
        <v>0.36363636363636365</v>
      </c>
      <c r="W265" s="161">
        <v>0.5</v>
      </c>
      <c r="X265" s="161">
        <v>0.40350877192982454</v>
      </c>
      <c r="Y265" s="161">
        <v>0.25</v>
      </c>
      <c r="Z265" s="162">
        <v>9.5999999999999979</v>
      </c>
      <c r="AA265" s="96" t="str">
        <f t="shared" si="453"/>
        <v>REG</v>
      </c>
    </row>
    <row r="266" spans="1:27" ht="40" customHeight="1" x14ac:dyDescent="0.2">
      <c r="A266" s="96" t="s">
        <v>38</v>
      </c>
      <c r="B266" s="96">
        <f>B265</f>
        <v>6</v>
      </c>
      <c r="C266" s="96">
        <f>C265</f>
        <v>11</v>
      </c>
      <c r="D266" s="163" t="s">
        <v>35</v>
      </c>
      <c r="E266" s="163"/>
      <c r="F266" s="164"/>
      <c r="G266" s="163"/>
      <c r="H266" s="163"/>
      <c r="I266" s="163"/>
      <c r="J266" s="163"/>
      <c r="K266" s="163"/>
      <c r="L266" s="163"/>
      <c r="M266" s="163"/>
      <c r="N266" s="163"/>
      <c r="O266" s="163">
        <v>75</v>
      </c>
      <c r="P266" s="163"/>
      <c r="Q266" s="163"/>
      <c r="R266" s="163"/>
      <c r="S266" s="163"/>
      <c r="T266" s="163"/>
      <c r="U266" s="163"/>
      <c r="V266" s="163"/>
      <c r="W266" s="163"/>
      <c r="X266" s="163"/>
      <c r="Y266" s="163"/>
      <c r="Z266" s="163"/>
      <c r="AA266" s="98" t="str">
        <f>AA265</f>
        <v>REG</v>
      </c>
    </row>
    <row r="267" spans="1:27" ht="40" customHeight="1" x14ac:dyDescent="0.2">
      <c r="A267" s="96" t="str">
        <f>D274</f>
        <v>LIGHTNING 1</v>
      </c>
      <c r="B267" s="96">
        <v>6</v>
      </c>
      <c r="C267" s="96">
        <f>C260+1</f>
        <v>12</v>
      </c>
      <c r="D267" s="128" t="s">
        <v>40</v>
      </c>
      <c r="E267" s="143">
        <v>11</v>
      </c>
      <c r="F267" s="143">
        <v>21</v>
      </c>
      <c r="G267" s="143">
        <v>1</v>
      </c>
      <c r="H267" s="143">
        <v>6</v>
      </c>
      <c r="I267" s="143">
        <v>12</v>
      </c>
      <c r="J267" s="143">
        <v>27</v>
      </c>
      <c r="K267" s="143">
        <v>0</v>
      </c>
      <c r="L267" s="143">
        <v>0</v>
      </c>
      <c r="M267" s="143">
        <v>6</v>
      </c>
      <c r="N267" s="143">
        <v>6</v>
      </c>
      <c r="O267" s="143">
        <v>25</v>
      </c>
      <c r="P267" s="143">
        <v>12</v>
      </c>
      <c r="Q267" s="143">
        <v>3</v>
      </c>
      <c r="R267" s="143">
        <v>0</v>
      </c>
      <c r="S267" s="143">
        <v>3</v>
      </c>
      <c r="T267" s="143">
        <v>1</v>
      </c>
      <c r="U267" s="143">
        <v>0</v>
      </c>
      <c r="V267" s="144">
        <v>0.44444444444444442</v>
      </c>
      <c r="W267" s="144">
        <v>0</v>
      </c>
      <c r="X267" s="144">
        <v>0.52380952380952384</v>
      </c>
      <c r="Y267" s="144">
        <v>0.16666666666666666</v>
      </c>
      <c r="Z267" s="145">
        <v>21</v>
      </c>
      <c r="AA267" s="98" t="s">
        <v>33</v>
      </c>
    </row>
    <row r="268" spans="1:27" ht="40" customHeight="1" x14ac:dyDescent="0.2">
      <c r="A268" s="96" t="str">
        <f>A267</f>
        <v>LIGHTNING 1</v>
      </c>
      <c r="B268" s="96">
        <v>6</v>
      </c>
      <c r="C268" s="96">
        <f>C267</f>
        <v>12</v>
      </c>
      <c r="D268" s="128" t="s">
        <v>48</v>
      </c>
      <c r="E268" s="146">
        <v>3</v>
      </c>
      <c r="F268" s="146">
        <v>5</v>
      </c>
      <c r="G268" s="146">
        <v>0</v>
      </c>
      <c r="H268" s="146">
        <v>3</v>
      </c>
      <c r="I268" s="146">
        <v>3</v>
      </c>
      <c r="J268" s="146">
        <v>8</v>
      </c>
      <c r="K268" s="146">
        <v>0</v>
      </c>
      <c r="L268" s="146">
        <v>0</v>
      </c>
      <c r="M268" s="146">
        <v>0</v>
      </c>
      <c r="N268" s="146">
        <v>1</v>
      </c>
      <c r="O268" s="146">
        <v>6</v>
      </c>
      <c r="P268" s="146">
        <v>1</v>
      </c>
      <c r="Q268" s="146">
        <v>1</v>
      </c>
      <c r="R268" s="146">
        <v>0</v>
      </c>
      <c r="S268" s="146">
        <v>1</v>
      </c>
      <c r="T268" s="146">
        <v>4</v>
      </c>
      <c r="U268" s="146">
        <v>1</v>
      </c>
      <c r="V268" s="147">
        <v>0.375</v>
      </c>
      <c r="W268" s="147">
        <v>0</v>
      </c>
      <c r="X268" s="147">
        <v>0.6</v>
      </c>
      <c r="Y268" s="147">
        <v>0</v>
      </c>
      <c r="Z268" s="148">
        <v>-0.79999999999999938</v>
      </c>
      <c r="AA268" s="98" t="str">
        <f>AA267</f>
        <v>REG</v>
      </c>
    </row>
    <row r="269" spans="1:27" ht="40" customHeight="1" x14ac:dyDescent="0.2">
      <c r="A269" s="96" t="str">
        <f>A268</f>
        <v>LIGHTNING 1</v>
      </c>
      <c r="B269" s="96">
        <v>6</v>
      </c>
      <c r="C269" s="96">
        <f t="shared" ref="C269:C270" si="463">C268</f>
        <v>12</v>
      </c>
      <c r="D269" s="128" t="s">
        <v>47</v>
      </c>
      <c r="E269" s="149">
        <v>2</v>
      </c>
      <c r="F269" s="149">
        <v>9</v>
      </c>
      <c r="G269" s="149">
        <v>0</v>
      </c>
      <c r="H269" s="149">
        <v>2</v>
      </c>
      <c r="I269" s="149">
        <v>2</v>
      </c>
      <c r="J269" s="149">
        <v>11</v>
      </c>
      <c r="K269" s="149">
        <v>0</v>
      </c>
      <c r="L269" s="149">
        <v>2</v>
      </c>
      <c r="M269" s="149">
        <v>3</v>
      </c>
      <c r="N269" s="149">
        <v>1</v>
      </c>
      <c r="O269" s="149">
        <v>4</v>
      </c>
      <c r="P269" s="149">
        <v>4</v>
      </c>
      <c r="Q269" s="149">
        <v>7</v>
      </c>
      <c r="R269" s="149">
        <v>0</v>
      </c>
      <c r="S269" s="149">
        <v>2</v>
      </c>
      <c r="T269" s="149">
        <v>1</v>
      </c>
      <c r="U269" s="149">
        <v>1</v>
      </c>
      <c r="V269" s="150">
        <v>0.18181818181818182</v>
      </c>
      <c r="W269" s="150">
        <v>0</v>
      </c>
      <c r="X269" s="150">
        <v>0.22222222222222221</v>
      </c>
      <c r="Y269" s="150">
        <v>0</v>
      </c>
      <c r="Z269" s="151">
        <v>4.1999999999999993</v>
      </c>
      <c r="AA269" s="98" t="str">
        <f t="shared" ref="AA269:AA273" si="464">AA268</f>
        <v>REG</v>
      </c>
    </row>
    <row r="270" spans="1:27" ht="40" customHeight="1" x14ac:dyDescent="0.2">
      <c r="A270" s="96" t="str">
        <f t="shared" ref="A270" si="465">A269</f>
        <v>LIGHTNING 1</v>
      </c>
      <c r="B270" s="96">
        <v>6</v>
      </c>
      <c r="C270" s="96">
        <f t="shared" si="463"/>
        <v>12</v>
      </c>
      <c r="D270" s="128" t="s">
        <v>49</v>
      </c>
      <c r="E270" s="139">
        <v>4</v>
      </c>
      <c r="F270" s="139">
        <v>7</v>
      </c>
      <c r="G270" s="139">
        <v>0</v>
      </c>
      <c r="H270" s="139">
        <v>1</v>
      </c>
      <c r="I270" s="139">
        <f>E270+G270</f>
        <v>4</v>
      </c>
      <c r="J270" s="139">
        <f>F270+H270</f>
        <v>8</v>
      </c>
      <c r="K270" s="139">
        <v>0</v>
      </c>
      <c r="L270" s="139">
        <v>0</v>
      </c>
      <c r="M270" s="139">
        <v>3</v>
      </c>
      <c r="N270" s="139">
        <v>3</v>
      </c>
      <c r="O270" s="139">
        <f>(E270*2)+(G270*3)+(K270)</f>
        <v>8</v>
      </c>
      <c r="P270" s="139">
        <f>M270+N270</f>
        <v>6</v>
      </c>
      <c r="Q270" s="139">
        <v>0</v>
      </c>
      <c r="R270" s="139">
        <v>0</v>
      </c>
      <c r="S270" s="139">
        <v>2</v>
      </c>
      <c r="T270" s="139">
        <v>2</v>
      </c>
      <c r="U270" s="139">
        <v>0</v>
      </c>
      <c r="V270" s="140">
        <f>IFERROR((E270+G270)/(F270+H270),0)</f>
        <v>0.5</v>
      </c>
      <c r="W270" s="140">
        <f>IFERROR(K270/L270,0)</f>
        <v>0</v>
      </c>
      <c r="X270" s="140">
        <f>IFERROR(E270/F270,0)</f>
        <v>0.5714285714285714</v>
      </c>
      <c r="Y270" s="140">
        <f>IFERROR(G270/H270,0)</f>
        <v>0</v>
      </c>
      <c r="Z270" s="141">
        <f>(O270)+(0.4*I270)-(0.7*J270)-(0.4*(L270-K270))+(0.7*M270)+(0.3*N270)+S270+(0.7*Q270)+(0.7*R270)-(0.4*U270)-T270</f>
        <v>7</v>
      </c>
      <c r="AA270" s="98" t="str">
        <f t="shared" si="464"/>
        <v>REG</v>
      </c>
    </row>
    <row r="271" spans="1:27" ht="40" customHeight="1" x14ac:dyDescent="0.2">
      <c r="A271" s="96" t="str">
        <f>A270</f>
        <v>LIGHTNING 1</v>
      </c>
      <c r="B271" s="96">
        <f>B270</f>
        <v>6</v>
      </c>
      <c r="C271" s="96">
        <f>C270</f>
        <v>12</v>
      </c>
      <c r="D271" s="128" t="s">
        <v>43</v>
      </c>
      <c r="E271" s="155">
        <v>0</v>
      </c>
      <c r="F271" s="155">
        <v>2</v>
      </c>
      <c r="G271" s="155">
        <v>1</v>
      </c>
      <c r="H271" s="155">
        <v>5</v>
      </c>
      <c r="I271" s="155">
        <v>1</v>
      </c>
      <c r="J271" s="155">
        <v>7</v>
      </c>
      <c r="K271" s="155">
        <v>0</v>
      </c>
      <c r="L271" s="155">
        <v>0</v>
      </c>
      <c r="M271" s="155">
        <v>3</v>
      </c>
      <c r="N271" s="155">
        <v>7</v>
      </c>
      <c r="O271" s="155">
        <v>3</v>
      </c>
      <c r="P271" s="155">
        <v>10</v>
      </c>
      <c r="Q271" s="155">
        <v>2</v>
      </c>
      <c r="R271" s="155">
        <v>0</v>
      </c>
      <c r="S271" s="155">
        <v>3</v>
      </c>
      <c r="T271" s="155">
        <v>1</v>
      </c>
      <c r="U271" s="155">
        <v>1</v>
      </c>
      <c r="V271" s="156">
        <v>0.14285714285714285</v>
      </c>
      <c r="W271" s="156">
        <v>0</v>
      </c>
      <c r="X271" s="156">
        <v>0</v>
      </c>
      <c r="Y271" s="156">
        <v>0.2</v>
      </c>
      <c r="Z271" s="157">
        <v>5.6999999999999993</v>
      </c>
      <c r="AA271" s="98" t="str">
        <f>AA270</f>
        <v>REG</v>
      </c>
    </row>
    <row r="272" spans="1:27" ht="40" customHeight="1" x14ac:dyDescent="0.2">
      <c r="A272" s="96" t="str">
        <f>A271</f>
        <v>LIGHTNING 1</v>
      </c>
      <c r="B272" s="96">
        <v>6</v>
      </c>
      <c r="C272" s="96">
        <f>C271</f>
        <v>12</v>
      </c>
      <c r="D272" s="128" t="s">
        <v>54</v>
      </c>
      <c r="E272" s="158">
        <v>1</v>
      </c>
      <c r="F272" s="158">
        <v>6</v>
      </c>
      <c r="G272" s="158">
        <v>0</v>
      </c>
      <c r="H272" s="158">
        <v>2</v>
      </c>
      <c r="I272" s="158">
        <v>1</v>
      </c>
      <c r="J272" s="158">
        <v>8</v>
      </c>
      <c r="K272" s="158">
        <v>0</v>
      </c>
      <c r="L272" s="158">
        <v>0</v>
      </c>
      <c r="M272" s="158">
        <v>2</v>
      </c>
      <c r="N272" s="158">
        <v>11</v>
      </c>
      <c r="O272" s="158">
        <v>2</v>
      </c>
      <c r="P272" s="158">
        <v>13</v>
      </c>
      <c r="Q272" s="158">
        <v>3</v>
      </c>
      <c r="R272" s="158">
        <v>0</v>
      </c>
      <c r="S272" s="158">
        <v>2</v>
      </c>
      <c r="T272" s="158">
        <v>6</v>
      </c>
      <c r="U272" s="158">
        <v>1</v>
      </c>
      <c r="V272" s="159">
        <v>0.125</v>
      </c>
      <c r="W272" s="159">
        <v>0</v>
      </c>
      <c r="X272" s="159">
        <v>0.16666666666666666</v>
      </c>
      <c r="Y272" s="159">
        <v>0</v>
      </c>
      <c r="Z272" s="160">
        <v>-0.80000000000000071</v>
      </c>
      <c r="AA272" s="100" t="str">
        <f>AA271</f>
        <v>REG</v>
      </c>
    </row>
    <row r="273" spans="1:27" ht="40" customHeight="1" x14ac:dyDescent="0.2">
      <c r="A273" s="96" t="str">
        <f>A272</f>
        <v>LIGHTNING 1</v>
      </c>
      <c r="B273" s="96">
        <f t="shared" ref="B273" si="466">B272</f>
        <v>6</v>
      </c>
      <c r="C273" s="96">
        <f t="shared" ref="C273" si="467">C272</f>
        <v>12</v>
      </c>
      <c r="D273" s="128" t="s">
        <v>31</v>
      </c>
      <c r="E273" s="142">
        <v>21</v>
      </c>
      <c r="F273" s="142">
        <v>50</v>
      </c>
      <c r="G273" s="142">
        <v>2</v>
      </c>
      <c r="H273" s="142">
        <v>19</v>
      </c>
      <c r="I273" s="142">
        <v>23</v>
      </c>
      <c r="J273" s="142">
        <v>69</v>
      </c>
      <c r="K273" s="142">
        <v>0</v>
      </c>
      <c r="L273" s="142">
        <v>2</v>
      </c>
      <c r="M273" s="142">
        <v>17</v>
      </c>
      <c r="N273" s="142">
        <v>29</v>
      </c>
      <c r="O273" s="142">
        <v>48</v>
      </c>
      <c r="P273" s="142">
        <v>46</v>
      </c>
      <c r="Q273" s="142">
        <v>16</v>
      </c>
      <c r="R273" s="142">
        <v>0</v>
      </c>
      <c r="S273" s="142">
        <v>13</v>
      </c>
      <c r="T273" s="142">
        <v>15</v>
      </c>
      <c r="U273" s="142">
        <v>4</v>
      </c>
      <c r="V273" s="161">
        <v>0.33333333333333331</v>
      </c>
      <c r="W273" s="161">
        <v>0</v>
      </c>
      <c r="X273" s="161">
        <v>0.42</v>
      </c>
      <c r="Y273" s="161">
        <v>0.10526315789473684</v>
      </c>
      <c r="Z273" s="162">
        <v>6.05</v>
      </c>
      <c r="AA273" s="96" t="str">
        <f t="shared" si="464"/>
        <v>REG</v>
      </c>
    </row>
    <row r="274" spans="1:27" ht="40" customHeight="1" x14ac:dyDescent="0.2">
      <c r="A274" s="96" t="s">
        <v>38</v>
      </c>
      <c r="B274" s="96">
        <f>B273</f>
        <v>6</v>
      </c>
      <c r="C274" s="96">
        <f>C273</f>
        <v>12</v>
      </c>
      <c r="D274" s="163" t="s">
        <v>28</v>
      </c>
      <c r="E274" s="163"/>
      <c r="F274" s="163"/>
      <c r="G274" s="166"/>
      <c r="H274" s="163"/>
      <c r="I274" s="163"/>
      <c r="J274" s="163"/>
      <c r="K274" s="163"/>
      <c r="L274" s="163"/>
      <c r="M274" s="163"/>
      <c r="N274" s="163"/>
      <c r="O274" s="163">
        <v>61</v>
      </c>
      <c r="P274" s="163"/>
      <c r="Q274" s="163"/>
      <c r="R274" s="163"/>
      <c r="S274" s="163"/>
      <c r="T274" s="163"/>
      <c r="U274" s="163"/>
      <c r="V274" s="163"/>
      <c r="W274" s="163"/>
      <c r="X274" s="163"/>
      <c r="Y274" s="163"/>
      <c r="Z274" s="163"/>
      <c r="AA274" s="98" t="str">
        <f>AA273</f>
        <v>REG</v>
      </c>
    </row>
    <row r="275" spans="1:27" ht="40" customHeight="1" x14ac:dyDescent="0.2">
      <c r="A275" s="96" t="str">
        <f>D281</f>
        <v>SAINTS</v>
      </c>
      <c r="B275" s="96">
        <v>6</v>
      </c>
      <c r="C275" s="96">
        <f>C267+1</f>
        <v>13</v>
      </c>
      <c r="D275" s="128" t="s">
        <v>40</v>
      </c>
      <c r="E275" s="143">
        <v>6</v>
      </c>
      <c r="F275" s="143">
        <v>15</v>
      </c>
      <c r="G275" s="143">
        <v>3</v>
      </c>
      <c r="H275" s="143">
        <v>7</v>
      </c>
      <c r="I275" s="143">
        <v>9</v>
      </c>
      <c r="J275" s="143">
        <v>22</v>
      </c>
      <c r="K275" s="143">
        <v>1</v>
      </c>
      <c r="L275" s="143">
        <v>1</v>
      </c>
      <c r="M275" s="143">
        <v>2</v>
      </c>
      <c r="N275" s="143">
        <v>11</v>
      </c>
      <c r="O275" s="143">
        <v>22</v>
      </c>
      <c r="P275" s="143">
        <v>13</v>
      </c>
      <c r="Q275" s="143">
        <v>6</v>
      </c>
      <c r="R275" s="143">
        <v>1</v>
      </c>
      <c r="S275" s="143">
        <v>0</v>
      </c>
      <c r="T275" s="143">
        <v>3</v>
      </c>
      <c r="U275" s="143">
        <v>4</v>
      </c>
      <c r="V275" s="144">
        <v>0.40909090909090912</v>
      </c>
      <c r="W275" s="144">
        <v>1</v>
      </c>
      <c r="X275" s="144">
        <v>0.4</v>
      </c>
      <c r="Y275" s="144">
        <v>0.42857142857142855</v>
      </c>
      <c r="Z275" s="145">
        <v>15.2</v>
      </c>
      <c r="AA275" s="98" t="s">
        <v>33</v>
      </c>
    </row>
    <row r="276" spans="1:27" ht="40" customHeight="1" x14ac:dyDescent="0.2">
      <c r="A276" s="96" t="str">
        <f>A275</f>
        <v>SAINTS</v>
      </c>
      <c r="B276" s="96">
        <v>6</v>
      </c>
      <c r="C276" s="96">
        <f>C275</f>
        <v>13</v>
      </c>
      <c r="D276" s="128" t="s">
        <v>49</v>
      </c>
      <c r="E276" s="139">
        <v>2</v>
      </c>
      <c r="F276" s="139">
        <v>5</v>
      </c>
      <c r="G276" s="139">
        <v>0</v>
      </c>
      <c r="H276" s="139">
        <v>4</v>
      </c>
      <c r="I276" s="139">
        <f>E276+G276</f>
        <v>2</v>
      </c>
      <c r="J276" s="139">
        <f>F276+H276</f>
        <v>9</v>
      </c>
      <c r="K276" s="139">
        <v>2</v>
      </c>
      <c r="L276" s="139">
        <v>2</v>
      </c>
      <c r="M276" s="139">
        <v>3</v>
      </c>
      <c r="N276" s="139">
        <v>7</v>
      </c>
      <c r="O276" s="139">
        <f>(E276*2)+(G276*3)+(K276)</f>
        <v>6</v>
      </c>
      <c r="P276" s="139">
        <f>M276+N276</f>
        <v>10</v>
      </c>
      <c r="Q276" s="139">
        <v>1</v>
      </c>
      <c r="R276" s="139">
        <v>1</v>
      </c>
      <c r="S276" s="139">
        <v>4</v>
      </c>
      <c r="T276" s="139">
        <v>4</v>
      </c>
      <c r="U276" s="139">
        <v>2</v>
      </c>
      <c r="V276" s="140">
        <f>IFERROR((E276+G276)/(F276+H276),0)</f>
        <v>0.22222222222222221</v>
      </c>
      <c r="W276" s="140">
        <f>IFERROR(K276/L276,0)</f>
        <v>1</v>
      </c>
      <c r="X276" s="140">
        <f>IFERROR(E276/F276,0)</f>
        <v>0.4</v>
      </c>
      <c r="Y276" s="140">
        <f>IFERROR(G276/H276,0)</f>
        <v>0</v>
      </c>
      <c r="Z276" s="141">
        <f>(O276)+(0.4*I276)-(0.7*J276)-(0.4*(L276-K276))+(0.7*M276)+(0.3*N276)+S276+(0.7*Q276)+(0.7*R276)-(0.4*U276)-T276</f>
        <v>5.2999999999999972</v>
      </c>
      <c r="AA276" s="98" t="str">
        <f>AA275</f>
        <v>REG</v>
      </c>
    </row>
    <row r="277" spans="1:27" ht="40" customHeight="1" x14ac:dyDescent="0.2">
      <c r="A277" s="96" t="str">
        <f>A276</f>
        <v>SAINTS</v>
      </c>
      <c r="B277" s="96">
        <v>6</v>
      </c>
      <c r="C277" s="96">
        <f t="shared" ref="C277" si="468">C276</f>
        <v>13</v>
      </c>
      <c r="D277" s="128" t="s">
        <v>47</v>
      </c>
      <c r="E277" s="149">
        <v>1</v>
      </c>
      <c r="F277" s="149">
        <v>3</v>
      </c>
      <c r="G277" s="149">
        <v>1</v>
      </c>
      <c r="H277" s="149">
        <v>3</v>
      </c>
      <c r="I277" s="149">
        <v>2</v>
      </c>
      <c r="J277" s="149">
        <v>6</v>
      </c>
      <c r="K277" s="149">
        <v>0</v>
      </c>
      <c r="L277" s="149">
        <v>0</v>
      </c>
      <c r="M277" s="149">
        <v>0</v>
      </c>
      <c r="N277" s="149">
        <v>7</v>
      </c>
      <c r="O277" s="149">
        <v>5</v>
      </c>
      <c r="P277" s="149">
        <v>7</v>
      </c>
      <c r="Q277" s="149">
        <v>6</v>
      </c>
      <c r="R277" s="149">
        <v>0</v>
      </c>
      <c r="S277" s="149">
        <v>2</v>
      </c>
      <c r="T277" s="149">
        <v>5</v>
      </c>
      <c r="U277" s="149">
        <v>4</v>
      </c>
      <c r="V277" s="150">
        <v>0.33333333333333331</v>
      </c>
      <c r="W277" s="150">
        <v>0</v>
      </c>
      <c r="X277" s="150">
        <v>0.33333333333333331</v>
      </c>
      <c r="Y277" s="150">
        <v>0.33333333333333331</v>
      </c>
      <c r="Z277" s="151">
        <v>3.3000000000000007</v>
      </c>
      <c r="AA277" s="98" t="str">
        <f t="shared" ref="AA277:AA280" si="469">AA276</f>
        <v>REG</v>
      </c>
    </row>
    <row r="278" spans="1:27" ht="40" customHeight="1" x14ac:dyDescent="0.2">
      <c r="A278" s="96" t="str">
        <f>A277</f>
        <v>SAINTS</v>
      </c>
      <c r="B278" s="96">
        <f>B277</f>
        <v>6</v>
      </c>
      <c r="C278" s="96">
        <f>C277</f>
        <v>13</v>
      </c>
      <c r="D278" s="128" t="s">
        <v>43</v>
      </c>
      <c r="E278" s="155">
        <v>5</v>
      </c>
      <c r="F278" s="155">
        <v>9</v>
      </c>
      <c r="G278" s="155">
        <v>2</v>
      </c>
      <c r="H278" s="155">
        <v>6</v>
      </c>
      <c r="I278" s="155">
        <v>7</v>
      </c>
      <c r="J278" s="155">
        <v>15</v>
      </c>
      <c r="K278" s="155">
        <v>1</v>
      </c>
      <c r="L278" s="155">
        <v>1</v>
      </c>
      <c r="M278" s="155">
        <v>2</v>
      </c>
      <c r="N278" s="155">
        <v>2</v>
      </c>
      <c r="O278" s="155">
        <v>17</v>
      </c>
      <c r="P278" s="155">
        <v>4</v>
      </c>
      <c r="Q278" s="155">
        <v>1</v>
      </c>
      <c r="R278" s="155">
        <v>1</v>
      </c>
      <c r="S278" s="155">
        <v>2</v>
      </c>
      <c r="T278" s="155">
        <v>2</v>
      </c>
      <c r="U278" s="155">
        <v>4</v>
      </c>
      <c r="V278" s="156">
        <v>0.46666666666666667</v>
      </c>
      <c r="W278" s="156">
        <v>1</v>
      </c>
      <c r="X278" s="156">
        <v>0.55555555555555558</v>
      </c>
      <c r="Y278" s="156">
        <v>0.33333333333333331</v>
      </c>
      <c r="Z278" s="157">
        <v>11.1</v>
      </c>
      <c r="AA278" s="98" t="str">
        <f>AA277</f>
        <v>REG</v>
      </c>
    </row>
    <row r="279" spans="1:27" ht="40" customHeight="1" x14ac:dyDescent="0.2">
      <c r="A279" s="96" t="str">
        <f>A278</f>
        <v>SAINTS</v>
      </c>
      <c r="B279" s="96">
        <v>6</v>
      </c>
      <c r="C279" s="96">
        <f>C278</f>
        <v>13</v>
      </c>
      <c r="D279" s="128" t="s">
        <v>54</v>
      </c>
      <c r="E279" s="158">
        <v>2</v>
      </c>
      <c r="F279" s="158">
        <v>3</v>
      </c>
      <c r="G279" s="158">
        <v>0</v>
      </c>
      <c r="H279" s="158">
        <v>2</v>
      </c>
      <c r="I279" s="158">
        <v>2</v>
      </c>
      <c r="J279" s="158">
        <v>5</v>
      </c>
      <c r="K279" s="158">
        <v>1</v>
      </c>
      <c r="L279" s="158">
        <v>3</v>
      </c>
      <c r="M279" s="158">
        <v>1</v>
      </c>
      <c r="N279" s="158">
        <v>0</v>
      </c>
      <c r="O279" s="158">
        <v>5</v>
      </c>
      <c r="P279" s="158">
        <v>1</v>
      </c>
      <c r="Q279" s="158">
        <v>2</v>
      </c>
      <c r="R279" s="158">
        <v>0</v>
      </c>
      <c r="S279" s="158">
        <v>1</v>
      </c>
      <c r="T279" s="158">
        <v>1</v>
      </c>
      <c r="U279" s="158">
        <v>2</v>
      </c>
      <c r="V279" s="159">
        <v>0.4</v>
      </c>
      <c r="W279" s="159">
        <v>0.33333333333333331</v>
      </c>
      <c r="X279" s="159">
        <v>0.66666666666666663</v>
      </c>
      <c r="Y279" s="159">
        <v>0</v>
      </c>
      <c r="Z279" s="160">
        <v>2.8</v>
      </c>
      <c r="AA279" s="100" t="str">
        <f>AA278</f>
        <v>REG</v>
      </c>
    </row>
    <row r="280" spans="1:27" ht="40" customHeight="1" x14ac:dyDescent="0.2">
      <c r="A280" s="96" t="str">
        <f>A279</f>
        <v>SAINTS</v>
      </c>
      <c r="B280" s="96">
        <f t="shared" ref="B280" si="470">B279</f>
        <v>6</v>
      </c>
      <c r="C280" s="96">
        <f t="shared" ref="C280" si="471">C279</f>
        <v>13</v>
      </c>
      <c r="D280" s="128" t="s">
        <v>31</v>
      </c>
      <c r="E280" s="142">
        <v>16</v>
      </c>
      <c r="F280" s="142">
        <v>35</v>
      </c>
      <c r="G280" s="142">
        <v>6</v>
      </c>
      <c r="H280" s="142">
        <v>22</v>
      </c>
      <c r="I280" s="142">
        <v>22</v>
      </c>
      <c r="J280" s="142">
        <v>57</v>
      </c>
      <c r="K280" s="142">
        <v>5</v>
      </c>
      <c r="L280" s="142">
        <v>7</v>
      </c>
      <c r="M280" s="142">
        <v>8</v>
      </c>
      <c r="N280" s="142">
        <v>27</v>
      </c>
      <c r="O280" s="142">
        <v>55</v>
      </c>
      <c r="P280" s="142">
        <v>35</v>
      </c>
      <c r="Q280" s="142">
        <v>16</v>
      </c>
      <c r="R280" s="142">
        <v>3</v>
      </c>
      <c r="S280" s="142">
        <v>9</v>
      </c>
      <c r="T280" s="142">
        <v>15</v>
      </c>
      <c r="U280" s="142">
        <v>16</v>
      </c>
      <c r="V280" s="161">
        <v>0.38596491228070173</v>
      </c>
      <c r="W280" s="161">
        <v>0.7142857142857143</v>
      </c>
      <c r="X280" s="161">
        <v>0.45714285714285713</v>
      </c>
      <c r="Y280" s="161">
        <v>0.27272727272727271</v>
      </c>
      <c r="Z280" s="162">
        <v>7.5399999999999991</v>
      </c>
      <c r="AA280" s="96" t="str">
        <f t="shared" si="469"/>
        <v>REG</v>
      </c>
    </row>
    <row r="281" spans="1:27" ht="40" customHeight="1" x14ac:dyDescent="0.2">
      <c r="A281" s="96" t="s">
        <v>38</v>
      </c>
      <c r="B281" s="96">
        <f>B280</f>
        <v>6</v>
      </c>
      <c r="C281" s="96">
        <f>C280</f>
        <v>13</v>
      </c>
      <c r="D281" s="163" t="s">
        <v>24</v>
      </c>
      <c r="E281" s="163"/>
      <c r="F281" s="167"/>
      <c r="G281" s="163"/>
      <c r="H281" s="163"/>
      <c r="I281" s="163"/>
      <c r="J281" s="163"/>
      <c r="K281" s="163"/>
      <c r="L281" s="163"/>
      <c r="M281" s="163"/>
      <c r="N281" s="163"/>
      <c r="O281" s="163">
        <v>49</v>
      </c>
      <c r="P281" s="163"/>
      <c r="Q281" s="163"/>
      <c r="R281" s="163"/>
      <c r="S281" s="163"/>
      <c r="T281" s="163"/>
      <c r="U281" s="163"/>
      <c r="V281" s="163"/>
      <c r="W281" s="163"/>
      <c r="X281" s="163"/>
      <c r="Y281" s="163"/>
      <c r="Z281" s="163"/>
      <c r="AA281" s="98" t="str">
        <f>AA280</f>
        <v>REG</v>
      </c>
    </row>
    <row r="282" spans="1:27" ht="40" customHeight="1" x14ac:dyDescent="0.2">
      <c r="A282" s="96" t="str">
        <f>D288</f>
        <v>MAGIC 1</v>
      </c>
      <c r="B282" s="96">
        <v>6</v>
      </c>
      <c r="C282" s="96">
        <f>C275+1</f>
        <v>14</v>
      </c>
      <c r="D282" s="128" t="s">
        <v>40</v>
      </c>
      <c r="E282" s="143">
        <v>4</v>
      </c>
      <c r="F282" s="143">
        <v>8</v>
      </c>
      <c r="G282" s="143">
        <v>0</v>
      </c>
      <c r="H282" s="143">
        <v>3</v>
      </c>
      <c r="I282" s="143">
        <v>4</v>
      </c>
      <c r="J282" s="143">
        <v>11</v>
      </c>
      <c r="K282" s="143">
        <v>1</v>
      </c>
      <c r="L282" s="143">
        <v>2</v>
      </c>
      <c r="M282" s="143">
        <v>2</v>
      </c>
      <c r="N282" s="143">
        <v>5</v>
      </c>
      <c r="O282" s="143">
        <v>9</v>
      </c>
      <c r="P282" s="143">
        <v>7</v>
      </c>
      <c r="Q282" s="143">
        <v>9</v>
      </c>
      <c r="R282" s="143">
        <v>0</v>
      </c>
      <c r="S282" s="143">
        <v>1</v>
      </c>
      <c r="T282" s="143">
        <v>9</v>
      </c>
      <c r="U282" s="143">
        <v>0</v>
      </c>
      <c r="V282" s="144">
        <v>0.36363636363636365</v>
      </c>
      <c r="W282" s="144">
        <v>0.5</v>
      </c>
      <c r="X282" s="144">
        <v>0.5</v>
      </c>
      <c r="Y282" s="144">
        <v>0</v>
      </c>
      <c r="Z282" s="145">
        <v>3.6999999999999993</v>
      </c>
      <c r="AA282" s="98" t="s">
        <v>33</v>
      </c>
    </row>
    <row r="283" spans="1:27" ht="40" customHeight="1" x14ac:dyDescent="0.2">
      <c r="A283" s="96" t="str">
        <f>A282</f>
        <v>MAGIC 1</v>
      </c>
      <c r="B283" s="96">
        <v>6</v>
      </c>
      <c r="C283" s="96">
        <f>C282</f>
        <v>14</v>
      </c>
      <c r="D283" s="128" t="s">
        <v>49</v>
      </c>
      <c r="E283" s="139">
        <v>0</v>
      </c>
      <c r="F283" s="139">
        <v>3</v>
      </c>
      <c r="G283" s="139">
        <v>0</v>
      </c>
      <c r="H283" s="139">
        <v>0</v>
      </c>
      <c r="I283" s="139">
        <f>E283+G283</f>
        <v>0</v>
      </c>
      <c r="J283" s="139">
        <f>F283+H283</f>
        <v>3</v>
      </c>
      <c r="K283" s="139">
        <v>0</v>
      </c>
      <c r="L283" s="139">
        <v>2</v>
      </c>
      <c r="M283" s="139">
        <v>2</v>
      </c>
      <c r="N283" s="139">
        <v>8</v>
      </c>
      <c r="O283" s="139">
        <f>(E283*2)+(G283*3)+(K283)</f>
        <v>0</v>
      </c>
      <c r="P283" s="139">
        <f>M283+N283</f>
        <v>10</v>
      </c>
      <c r="Q283" s="139">
        <v>1</v>
      </c>
      <c r="R283" s="139">
        <v>0</v>
      </c>
      <c r="S283" s="139">
        <v>5</v>
      </c>
      <c r="T283" s="139">
        <v>3</v>
      </c>
      <c r="U283" s="139">
        <v>1</v>
      </c>
      <c r="V283" s="140">
        <f>IFERROR((E283+G283)/(F283+H283),0)</f>
        <v>0</v>
      </c>
      <c r="W283" s="140">
        <f>IFERROR(K283/L283,0)</f>
        <v>0</v>
      </c>
      <c r="X283" s="140">
        <f>IFERROR(E283/F283,0)</f>
        <v>0</v>
      </c>
      <c r="Y283" s="140">
        <f>IFERROR(G283/H283,0)</f>
        <v>0</v>
      </c>
      <c r="Z283" s="141">
        <f>(O283)+(0.4*I283)-(0.7*J283)-(0.4*(L283-K283))+(0.7*M283)+(0.3*N283)+S283+(0.7*Q283)+(0.7*R283)-(0.4*U283)-T283</f>
        <v>3.2</v>
      </c>
      <c r="AA283" s="98" t="str">
        <f>AA282</f>
        <v>REG</v>
      </c>
    </row>
    <row r="284" spans="1:27" ht="40" customHeight="1" x14ac:dyDescent="0.2">
      <c r="A284" s="96" t="str">
        <f t="shared" ref="A284" si="472">A283</f>
        <v>MAGIC 1</v>
      </c>
      <c r="B284" s="96">
        <v>6</v>
      </c>
      <c r="C284" s="96">
        <f t="shared" ref="C284" si="473">C283</f>
        <v>14</v>
      </c>
      <c r="D284" s="128" t="s">
        <v>42</v>
      </c>
      <c r="E284" s="152">
        <v>12</v>
      </c>
      <c r="F284" s="152">
        <v>25</v>
      </c>
      <c r="G284" s="152">
        <v>2</v>
      </c>
      <c r="H284" s="152">
        <v>10</v>
      </c>
      <c r="I284" s="152">
        <v>14</v>
      </c>
      <c r="J284" s="152">
        <v>35</v>
      </c>
      <c r="K284" s="152">
        <v>1</v>
      </c>
      <c r="L284" s="152">
        <v>3</v>
      </c>
      <c r="M284" s="152">
        <v>1</v>
      </c>
      <c r="N284" s="152">
        <v>1</v>
      </c>
      <c r="O284" s="152">
        <v>31</v>
      </c>
      <c r="P284" s="152">
        <v>2</v>
      </c>
      <c r="Q284" s="152">
        <v>3</v>
      </c>
      <c r="R284" s="152">
        <v>0</v>
      </c>
      <c r="S284" s="152">
        <v>1</v>
      </c>
      <c r="T284" s="152">
        <v>2</v>
      </c>
      <c r="U284" s="152">
        <v>1</v>
      </c>
      <c r="V284" s="153">
        <v>0.4</v>
      </c>
      <c r="W284" s="153">
        <v>0.33333333333333331</v>
      </c>
      <c r="X284" s="153">
        <v>0.48</v>
      </c>
      <c r="Y284" s="153">
        <v>0.2</v>
      </c>
      <c r="Z284" s="154">
        <v>13</v>
      </c>
      <c r="AA284" s="98" t="str">
        <f t="shared" ref="AA284:AA287" si="474">AA283</f>
        <v>REG</v>
      </c>
    </row>
    <row r="285" spans="1:27" ht="40" customHeight="1" x14ac:dyDescent="0.2">
      <c r="A285" s="96" t="str">
        <f>A284</f>
        <v>MAGIC 1</v>
      </c>
      <c r="B285" s="96">
        <f>B284</f>
        <v>6</v>
      </c>
      <c r="C285" s="96">
        <f>C284</f>
        <v>14</v>
      </c>
      <c r="D285" s="128" t="s">
        <v>43</v>
      </c>
      <c r="E285" s="155">
        <v>6</v>
      </c>
      <c r="F285" s="155">
        <v>11</v>
      </c>
      <c r="G285" s="155">
        <v>0</v>
      </c>
      <c r="H285" s="155">
        <v>2</v>
      </c>
      <c r="I285" s="155">
        <v>6</v>
      </c>
      <c r="J285" s="155">
        <v>13</v>
      </c>
      <c r="K285" s="155">
        <v>2</v>
      </c>
      <c r="L285" s="155">
        <v>2</v>
      </c>
      <c r="M285" s="155">
        <v>6</v>
      </c>
      <c r="N285" s="155">
        <v>5</v>
      </c>
      <c r="O285" s="155">
        <v>14</v>
      </c>
      <c r="P285" s="155">
        <v>11</v>
      </c>
      <c r="Q285" s="155">
        <v>1</v>
      </c>
      <c r="R285" s="155">
        <v>2</v>
      </c>
      <c r="S285" s="155">
        <v>1</v>
      </c>
      <c r="T285" s="155">
        <v>2</v>
      </c>
      <c r="U285" s="155">
        <v>1</v>
      </c>
      <c r="V285" s="156">
        <v>0.46153846153846156</v>
      </c>
      <c r="W285" s="156">
        <v>1</v>
      </c>
      <c r="X285" s="156">
        <v>0.54545454545454541</v>
      </c>
      <c r="Y285" s="156">
        <v>0</v>
      </c>
      <c r="Z285" s="157">
        <v>13.699999999999998</v>
      </c>
      <c r="AA285" s="98" t="str">
        <f>AA284</f>
        <v>REG</v>
      </c>
    </row>
    <row r="286" spans="1:27" ht="40" customHeight="1" x14ac:dyDescent="0.2">
      <c r="A286" s="96" t="str">
        <f>A285</f>
        <v>MAGIC 1</v>
      </c>
      <c r="B286" s="96">
        <v>6</v>
      </c>
      <c r="C286" s="96">
        <f>C285</f>
        <v>14</v>
      </c>
      <c r="D286" s="128" t="s">
        <v>54</v>
      </c>
      <c r="E286" s="158">
        <v>2</v>
      </c>
      <c r="F286" s="158">
        <v>6</v>
      </c>
      <c r="G286" s="158">
        <v>0</v>
      </c>
      <c r="H286" s="158">
        <v>1</v>
      </c>
      <c r="I286" s="158">
        <v>2</v>
      </c>
      <c r="J286" s="158">
        <v>7</v>
      </c>
      <c r="K286" s="158">
        <v>1</v>
      </c>
      <c r="L286" s="158">
        <v>2</v>
      </c>
      <c r="M286" s="158">
        <v>3</v>
      </c>
      <c r="N286" s="158">
        <v>8</v>
      </c>
      <c r="O286" s="158">
        <v>5</v>
      </c>
      <c r="P286" s="158">
        <v>11</v>
      </c>
      <c r="Q286" s="158">
        <v>1</v>
      </c>
      <c r="R286" s="158">
        <v>3</v>
      </c>
      <c r="S286" s="158">
        <v>2</v>
      </c>
      <c r="T286" s="158">
        <v>1</v>
      </c>
      <c r="U286" s="158">
        <v>0</v>
      </c>
      <c r="V286" s="159">
        <v>0.2857142857142857</v>
      </c>
      <c r="W286" s="159">
        <v>0.5</v>
      </c>
      <c r="X286" s="159">
        <v>0.33333333333333331</v>
      </c>
      <c r="Y286" s="159">
        <v>0</v>
      </c>
      <c r="Z286" s="160">
        <v>8.8000000000000007</v>
      </c>
      <c r="AA286" s="100" t="str">
        <f>AA285</f>
        <v>REG</v>
      </c>
    </row>
    <row r="287" spans="1:27" ht="40" customHeight="1" x14ac:dyDescent="0.2">
      <c r="A287" s="96" t="str">
        <f>A286</f>
        <v>MAGIC 1</v>
      </c>
      <c r="B287" s="96">
        <f t="shared" ref="B287" si="475">B286</f>
        <v>6</v>
      </c>
      <c r="C287" s="96">
        <f t="shared" ref="C287" si="476">C286</f>
        <v>14</v>
      </c>
      <c r="D287" s="128" t="s">
        <v>31</v>
      </c>
      <c r="E287" s="142">
        <v>24</v>
      </c>
      <c r="F287" s="142">
        <v>53</v>
      </c>
      <c r="G287" s="142">
        <v>2</v>
      </c>
      <c r="H287" s="142">
        <v>16</v>
      </c>
      <c r="I287" s="142">
        <v>26</v>
      </c>
      <c r="J287" s="142">
        <v>69</v>
      </c>
      <c r="K287" s="142">
        <v>5</v>
      </c>
      <c r="L287" s="142">
        <v>11</v>
      </c>
      <c r="M287" s="142">
        <v>14</v>
      </c>
      <c r="N287" s="142">
        <v>27</v>
      </c>
      <c r="O287" s="142">
        <v>59</v>
      </c>
      <c r="P287" s="142">
        <v>41</v>
      </c>
      <c r="Q287" s="142">
        <v>15</v>
      </c>
      <c r="R287" s="142">
        <v>5</v>
      </c>
      <c r="S287" s="142">
        <v>10</v>
      </c>
      <c r="T287" s="142">
        <v>17</v>
      </c>
      <c r="U287" s="142">
        <v>3</v>
      </c>
      <c r="V287" s="161">
        <v>0.37681159420289856</v>
      </c>
      <c r="W287" s="161">
        <v>0.45454545454545453</v>
      </c>
      <c r="X287" s="161">
        <v>0.45283018867924529</v>
      </c>
      <c r="Y287" s="161">
        <v>0.125</v>
      </c>
      <c r="Z287" s="162">
        <v>8.4799999999999986</v>
      </c>
      <c r="AA287" s="96" t="str">
        <f t="shared" si="474"/>
        <v>REG</v>
      </c>
    </row>
    <row r="288" spans="1:27" ht="40" customHeight="1" x14ac:dyDescent="0.2">
      <c r="A288" s="96" t="s">
        <v>38</v>
      </c>
      <c r="B288" s="96">
        <f>B287</f>
        <v>6</v>
      </c>
      <c r="C288" s="96">
        <f>C287</f>
        <v>14</v>
      </c>
      <c r="D288" s="163" t="s">
        <v>35</v>
      </c>
      <c r="E288" s="163"/>
      <c r="F288" s="166"/>
      <c r="G288" s="163"/>
      <c r="H288" s="163"/>
      <c r="I288" s="163"/>
      <c r="J288" s="163"/>
      <c r="K288" s="163"/>
      <c r="L288" s="163"/>
      <c r="M288" s="163"/>
      <c r="N288" s="163"/>
      <c r="O288" s="163">
        <v>68</v>
      </c>
      <c r="P288" s="163"/>
      <c r="Q288" s="163"/>
      <c r="R288" s="163"/>
      <c r="S288" s="163"/>
      <c r="T288" s="163"/>
      <c r="U288" s="163"/>
      <c r="V288" s="163"/>
      <c r="W288" s="163"/>
      <c r="X288" s="163"/>
      <c r="Y288" s="163"/>
      <c r="Z288" s="163"/>
      <c r="AA288" s="98" t="str">
        <f>AA287</f>
        <v>REG</v>
      </c>
    </row>
    <row r="289" spans="1:27" ht="40" customHeight="1" x14ac:dyDescent="0.2">
      <c r="A289" s="96" t="str">
        <f>D295</f>
        <v>LIGHTNING 1</v>
      </c>
      <c r="B289" s="96">
        <v>6</v>
      </c>
      <c r="C289" s="96">
        <f>C282+1</f>
        <v>15</v>
      </c>
      <c r="D289" s="128" t="s">
        <v>40</v>
      </c>
      <c r="E289" s="143">
        <v>9</v>
      </c>
      <c r="F289" s="143">
        <v>22</v>
      </c>
      <c r="G289" s="143">
        <v>3</v>
      </c>
      <c r="H289" s="143">
        <v>8</v>
      </c>
      <c r="I289" s="143">
        <v>12</v>
      </c>
      <c r="J289" s="143">
        <v>30</v>
      </c>
      <c r="K289" s="143">
        <v>2</v>
      </c>
      <c r="L289" s="143">
        <v>4</v>
      </c>
      <c r="M289" s="143">
        <v>7</v>
      </c>
      <c r="N289" s="143">
        <v>9</v>
      </c>
      <c r="O289" s="143">
        <v>29</v>
      </c>
      <c r="P289" s="143">
        <v>16</v>
      </c>
      <c r="Q289" s="143">
        <v>3</v>
      </c>
      <c r="R289" s="143">
        <v>0</v>
      </c>
      <c r="S289" s="143">
        <v>0</v>
      </c>
      <c r="T289" s="143">
        <v>4</v>
      </c>
      <c r="U289" s="143">
        <v>0</v>
      </c>
      <c r="V289" s="144">
        <v>0.4</v>
      </c>
      <c r="W289" s="144">
        <v>0.5</v>
      </c>
      <c r="X289" s="144">
        <v>0.40909090909090912</v>
      </c>
      <c r="Y289" s="144">
        <v>0.375</v>
      </c>
      <c r="Z289" s="145">
        <v>17.699999999999996</v>
      </c>
      <c r="AA289" s="98" t="s">
        <v>33</v>
      </c>
    </row>
    <row r="290" spans="1:27" ht="40" customHeight="1" x14ac:dyDescent="0.2">
      <c r="A290" s="96" t="str">
        <f>A289</f>
        <v>LIGHTNING 1</v>
      </c>
      <c r="B290" s="96">
        <v>6</v>
      </c>
      <c r="C290" s="96">
        <f>C289</f>
        <v>15</v>
      </c>
      <c r="D290" s="128" t="s">
        <v>49</v>
      </c>
      <c r="E290" s="139">
        <v>2</v>
      </c>
      <c r="F290" s="139">
        <v>3</v>
      </c>
      <c r="G290" s="139">
        <v>0</v>
      </c>
      <c r="H290" s="139">
        <v>2</v>
      </c>
      <c r="I290" s="139">
        <f>E290+G290</f>
        <v>2</v>
      </c>
      <c r="J290" s="139">
        <f>F290+H290</f>
        <v>5</v>
      </c>
      <c r="K290" s="139">
        <v>3</v>
      </c>
      <c r="L290" s="139">
        <v>6</v>
      </c>
      <c r="M290" s="139">
        <v>1</v>
      </c>
      <c r="N290" s="139">
        <v>6</v>
      </c>
      <c r="O290" s="139">
        <f>(E290*2)+(G290*3)+(K290)</f>
        <v>7</v>
      </c>
      <c r="P290" s="139">
        <f>M290+N290</f>
        <v>7</v>
      </c>
      <c r="Q290" s="139">
        <v>2</v>
      </c>
      <c r="R290" s="139">
        <v>1</v>
      </c>
      <c r="S290" s="139">
        <v>6</v>
      </c>
      <c r="T290" s="139">
        <v>3</v>
      </c>
      <c r="U290" s="139">
        <v>2</v>
      </c>
      <c r="V290" s="140">
        <f>IFERROR((E290+G290)/(F290+H290),0)</f>
        <v>0.4</v>
      </c>
      <c r="W290" s="140">
        <f>IFERROR(K290/L290,0)</f>
        <v>0.5</v>
      </c>
      <c r="X290" s="140">
        <f>IFERROR(E290/F290,0)</f>
        <v>0.66666666666666663</v>
      </c>
      <c r="Y290" s="140">
        <f>IFERROR(G290/H290,0)</f>
        <v>0</v>
      </c>
      <c r="Z290" s="141">
        <f>(O290)+(0.4*I290)-(0.7*J290)-(0.4*(L290-K290))+(0.7*M290)+(0.3*N290)+S290+(0.7*Q290)+(0.7*R290)-(0.4*U290)-T290</f>
        <v>9.8999999999999986</v>
      </c>
      <c r="AA290" s="98" t="str">
        <f>AA289</f>
        <v>REG</v>
      </c>
    </row>
    <row r="291" spans="1:27" ht="40" customHeight="1" x14ac:dyDescent="0.2">
      <c r="A291" s="96" t="str">
        <f>A290</f>
        <v>LIGHTNING 1</v>
      </c>
      <c r="B291" s="96">
        <v>6</v>
      </c>
      <c r="C291" s="96">
        <f t="shared" ref="C291" si="477">C290</f>
        <v>15</v>
      </c>
      <c r="D291" s="128" t="s">
        <v>47</v>
      </c>
      <c r="E291" s="149">
        <v>0</v>
      </c>
      <c r="F291" s="149">
        <v>7</v>
      </c>
      <c r="G291" s="149">
        <v>0</v>
      </c>
      <c r="H291" s="149">
        <v>1</v>
      </c>
      <c r="I291" s="149">
        <v>0</v>
      </c>
      <c r="J291" s="149">
        <v>8</v>
      </c>
      <c r="K291" s="149">
        <v>0</v>
      </c>
      <c r="L291" s="149">
        <v>0</v>
      </c>
      <c r="M291" s="149">
        <v>1</v>
      </c>
      <c r="N291" s="149">
        <v>2</v>
      </c>
      <c r="O291" s="149">
        <v>0</v>
      </c>
      <c r="P291" s="149">
        <v>3</v>
      </c>
      <c r="Q291" s="149">
        <v>11</v>
      </c>
      <c r="R291" s="149">
        <v>0</v>
      </c>
      <c r="S291" s="149">
        <v>1</v>
      </c>
      <c r="T291" s="149">
        <v>2</v>
      </c>
      <c r="U291" s="149">
        <v>1</v>
      </c>
      <c r="V291" s="150">
        <v>0</v>
      </c>
      <c r="W291" s="150">
        <v>0</v>
      </c>
      <c r="X291" s="150">
        <v>0</v>
      </c>
      <c r="Y291" s="150">
        <v>0</v>
      </c>
      <c r="Z291" s="151">
        <v>1.9999999999999996</v>
      </c>
      <c r="AA291" s="98" t="str">
        <f t="shared" ref="AA291:AA294" si="478">AA290</f>
        <v>REG</v>
      </c>
    </row>
    <row r="292" spans="1:27" ht="40" customHeight="1" x14ac:dyDescent="0.2">
      <c r="A292" s="96" t="str">
        <f t="shared" ref="A292:B292" si="479">A291</f>
        <v>LIGHTNING 1</v>
      </c>
      <c r="B292" s="96">
        <f t="shared" si="479"/>
        <v>6</v>
      </c>
      <c r="C292" s="96">
        <f>C291</f>
        <v>15</v>
      </c>
      <c r="D292" s="128" t="s">
        <v>43</v>
      </c>
      <c r="E292" s="155">
        <v>5</v>
      </c>
      <c r="F292" s="155">
        <v>12</v>
      </c>
      <c r="G292" s="155">
        <v>1</v>
      </c>
      <c r="H292" s="155">
        <v>2</v>
      </c>
      <c r="I292" s="155">
        <v>6</v>
      </c>
      <c r="J292" s="155">
        <v>14</v>
      </c>
      <c r="K292" s="155">
        <v>0</v>
      </c>
      <c r="L292" s="155">
        <v>0</v>
      </c>
      <c r="M292" s="155">
        <v>8</v>
      </c>
      <c r="N292" s="155">
        <v>3</v>
      </c>
      <c r="O292" s="155">
        <v>13</v>
      </c>
      <c r="P292" s="155">
        <v>11</v>
      </c>
      <c r="Q292" s="155">
        <v>2</v>
      </c>
      <c r="R292" s="155">
        <v>1</v>
      </c>
      <c r="S292" s="155">
        <v>4</v>
      </c>
      <c r="T292" s="155">
        <v>3</v>
      </c>
      <c r="U292" s="155">
        <v>1</v>
      </c>
      <c r="V292" s="156">
        <v>0.42857142857142855</v>
      </c>
      <c r="W292" s="156">
        <v>0</v>
      </c>
      <c r="X292" s="156">
        <v>0.41666666666666669</v>
      </c>
      <c r="Y292" s="156">
        <v>0.5</v>
      </c>
      <c r="Z292" s="157">
        <v>14.8</v>
      </c>
      <c r="AA292" s="98" t="str">
        <f>AA291</f>
        <v>REG</v>
      </c>
    </row>
    <row r="293" spans="1:27" ht="40" customHeight="1" x14ac:dyDescent="0.2">
      <c r="A293" s="96" t="str">
        <f>A292</f>
        <v>LIGHTNING 1</v>
      </c>
      <c r="B293" s="96">
        <v>6</v>
      </c>
      <c r="C293" s="96">
        <f>C292</f>
        <v>15</v>
      </c>
      <c r="D293" s="128" t="s">
        <v>54</v>
      </c>
      <c r="E293" s="158">
        <v>4</v>
      </c>
      <c r="F293" s="158">
        <v>11</v>
      </c>
      <c r="G293" s="158">
        <v>0</v>
      </c>
      <c r="H293" s="158">
        <v>0</v>
      </c>
      <c r="I293" s="158">
        <v>4</v>
      </c>
      <c r="J293" s="158">
        <v>11</v>
      </c>
      <c r="K293" s="158">
        <v>0</v>
      </c>
      <c r="L293" s="158">
        <v>0</v>
      </c>
      <c r="M293" s="158">
        <v>2</v>
      </c>
      <c r="N293" s="158">
        <v>4</v>
      </c>
      <c r="O293" s="158">
        <v>8</v>
      </c>
      <c r="P293" s="158">
        <v>6</v>
      </c>
      <c r="Q293" s="158">
        <v>1</v>
      </c>
      <c r="R293" s="158">
        <v>0</v>
      </c>
      <c r="S293" s="158">
        <v>0</v>
      </c>
      <c r="T293" s="158">
        <v>2</v>
      </c>
      <c r="U293" s="158">
        <v>2</v>
      </c>
      <c r="V293" s="159">
        <v>0.36363636363636365</v>
      </c>
      <c r="W293" s="159">
        <v>0</v>
      </c>
      <c r="X293" s="159">
        <v>0.36363636363636365</v>
      </c>
      <c r="Y293" s="159">
        <v>0</v>
      </c>
      <c r="Z293" s="160">
        <v>2.4000000000000004</v>
      </c>
      <c r="AA293" s="100" t="str">
        <f>AA292</f>
        <v>REG</v>
      </c>
    </row>
    <row r="294" spans="1:27" ht="40" customHeight="1" x14ac:dyDescent="0.2">
      <c r="A294" s="96" t="str">
        <f>A293</f>
        <v>LIGHTNING 1</v>
      </c>
      <c r="B294" s="96">
        <f t="shared" ref="B294" si="480">B293</f>
        <v>6</v>
      </c>
      <c r="C294" s="96">
        <f t="shared" ref="C294" si="481">C293</f>
        <v>15</v>
      </c>
      <c r="D294" s="128" t="s">
        <v>31</v>
      </c>
      <c r="E294" s="142">
        <v>20</v>
      </c>
      <c r="F294" s="142">
        <v>55</v>
      </c>
      <c r="G294" s="142">
        <v>4</v>
      </c>
      <c r="H294" s="142">
        <v>13</v>
      </c>
      <c r="I294" s="142">
        <v>24</v>
      </c>
      <c r="J294" s="142">
        <v>68</v>
      </c>
      <c r="K294" s="142">
        <v>5</v>
      </c>
      <c r="L294" s="142">
        <v>10</v>
      </c>
      <c r="M294" s="142">
        <v>19</v>
      </c>
      <c r="N294" s="142">
        <v>24</v>
      </c>
      <c r="O294" s="142">
        <v>57</v>
      </c>
      <c r="P294" s="142">
        <v>43</v>
      </c>
      <c r="Q294" s="142">
        <v>19</v>
      </c>
      <c r="R294" s="142">
        <v>2</v>
      </c>
      <c r="S294" s="142">
        <v>11</v>
      </c>
      <c r="T294" s="142">
        <v>14</v>
      </c>
      <c r="U294" s="142">
        <v>6</v>
      </c>
      <c r="V294" s="161">
        <v>0.35294117647058826</v>
      </c>
      <c r="W294" s="161">
        <v>0.5</v>
      </c>
      <c r="X294" s="161">
        <v>0.36363636363636365</v>
      </c>
      <c r="Y294" s="161">
        <v>0.30769230769230771</v>
      </c>
      <c r="Z294" s="162">
        <v>9.3599999999999977</v>
      </c>
      <c r="AA294" s="96" t="str">
        <f t="shared" si="478"/>
        <v>REG</v>
      </c>
    </row>
    <row r="295" spans="1:27" ht="40" customHeight="1" x14ac:dyDescent="0.2">
      <c r="A295" s="96" t="s">
        <v>38</v>
      </c>
      <c r="B295" s="96">
        <f>B294</f>
        <v>6</v>
      </c>
      <c r="C295" s="96">
        <f>C294</f>
        <v>15</v>
      </c>
      <c r="D295" s="163" t="s">
        <v>28</v>
      </c>
      <c r="E295" s="163"/>
      <c r="F295" s="168"/>
      <c r="G295" s="163"/>
      <c r="H295" s="163"/>
      <c r="I295" s="163"/>
      <c r="J295" s="163"/>
      <c r="K295" s="163"/>
      <c r="L295" s="163"/>
      <c r="M295" s="163"/>
      <c r="N295" s="163"/>
      <c r="O295" s="163">
        <v>51</v>
      </c>
      <c r="P295" s="163"/>
      <c r="Q295" s="163"/>
      <c r="R295" s="163"/>
      <c r="S295" s="163"/>
      <c r="T295" s="163"/>
      <c r="U295" s="163"/>
      <c r="V295" s="163"/>
      <c r="W295" s="163"/>
      <c r="X295" s="163"/>
      <c r="Y295" s="163"/>
      <c r="Z295" s="163"/>
      <c r="AA295" s="98" t="str">
        <f>AA294</f>
        <v>REG</v>
      </c>
    </row>
    <row r="296" spans="1:27" ht="40" customHeight="1" x14ac:dyDescent="0.2">
      <c r="A296" s="96" t="str">
        <f>D302</f>
        <v>SAINTS</v>
      </c>
      <c r="B296" s="96">
        <v>6</v>
      </c>
      <c r="C296" s="96">
        <f>C289+1</f>
        <v>16</v>
      </c>
      <c r="D296" s="128" t="s">
        <v>40</v>
      </c>
      <c r="E296" s="143">
        <v>7</v>
      </c>
      <c r="F296" s="143">
        <v>15</v>
      </c>
      <c r="G296" s="143">
        <v>1</v>
      </c>
      <c r="H296" s="143">
        <v>6</v>
      </c>
      <c r="I296" s="143">
        <v>8</v>
      </c>
      <c r="J296" s="143">
        <v>21</v>
      </c>
      <c r="K296" s="143">
        <v>1</v>
      </c>
      <c r="L296" s="143">
        <v>1</v>
      </c>
      <c r="M296" s="143">
        <v>4</v>
      </c>
      <c r="N296" s="143">
        <v>8</v>
      </c>
      <c r="O296" s="143">
        <v>18</v>
      </c>
      <c r="P296" s="143">
        <v>12</v>
      </c>
      <c r="Q296" s="143">
        <v>6</v>
      </c>
      <c r="R296" s="143">
        <v>0</v>
      </c>
      <c r="S296" s="143">
        <v>2</v>
      </c>
      <c r="T296" s="143">
        <v>3</v>
      </c>
      <c r="U296" s="143">
        <v>2</v>
      </c>
      <c r="V296" s="144">
        <v>0.38095238095238093</v>
      </c>
      <c r="W296" s="144">
        <v>1</v>
      </c>
      <c r="X296" s="144">
        <v>0.46666666666666667</v>
      </c>
      <c r="Y296" s="144">
        <v>0.16666666666666666</v>
      </c>
      <c r="Z296" s="145">
        <v>14.099999999999998</v>
      </c>
      <c r="AA296" s="98" t="s">
        <v>33</v>
      </c>
    </row>
    <row r="297" spans="1:27" ht="40" customHeight="1" x14ac:dyDescent="0.2">
      <c r="A297" s="96" t="str">
        <f>A296</f>
        <v>SAINTS</v>
      </c>
      <c r="B297" s="96">
        <v>6</v>
      </c>
      <c r="C297" s="96">
        <f>C296</f>
        <v>16</v>
      </c>
      <c r="D297" s="128" t="s">
        <v>49</v>
      </c>
      <c r="E297" s="139">
        <v>5</v>
      </c>
      <c r="F297" s="139">
        <v>16</v>
      </c>
      <c r="G297" s="139">
        <v>1</v>
      </c>
      <c r="H297" s="139">
        <v>3</v>
      </c>
      <c r="I297" s="139">
        <f>E297+G297</f>
        <v>6</v>
      </c>
      <c r="J297" s="139">
        <f>F297+H297</f>
        <v>19</v>
      </c>
      <c r="K297" s="139">
        <v>0</v>
      </c>
      <c r="L297" s="139">
        <v>0</v>
      </c>
      <c r="M297" s="139">
        <v>3</v>
      </c>
      <c r="N297" s="139">
        <v>13</v>
      </c>
      <c r="O297" s="139">
        <f>(E297*2)+(G297*3)+(K297)</f>
        <v>13</v>
      </c>
      <c r="P297" s="139">
        <f>M297+N297</f>
        <v>16</v>
      </c>
      <c r="Q297" s="139">
        <v>1</v>
      </c>
      <c r="R297" s="139">
        <v>0</v>
      </c>
      <c r="S297" s="139">
        <v>1</v>
      </c>
      <c r="T297" s="139">
        <v>2</v>
      </c>
      <c r="U297" s="139">
        <v>1</v>
      </c>
      <c r="V297" s="140">
        <f>IFERROR((E297+G297)/(F297+H297),0)</f>
        <v>0.31578947368421051</v>
      </c>
      <c r="W297" s="140">
        <f>IFERROR(K297/L297,0)</f>
        <v>0</v>
      </c>
      <c r="X297" s="140">
        <f>IFERROR(E297/F297,0)</f>
        <v>0.3125</v>
      </c>
      <c r="Y297" s="140">
        <f>IFERROR(G297/H297,0)</f>
        <v>0.33333333333333331</v>
      </c>
      <c r="Z297" s="141">
        <f>(O297)+(0.4*I297)-(0.7*J297)-(0.4*(L297-K297))+(0.7*M297)+(0.3*N297)+S297+(0.7*Q297)+(0.7*R297)-(0.4*U297)-T297</f>
        <v>7.4</v>
      </c>
      <c r="AA297" s="98" t="str">
        <f>AA296</f>
        <v>REG</v>
      </c>
    </row>
    <row r="298" spans="1:27" ht="40" customHeight="1" x14ac:dyDescent="0.2">
      <c r="A298" s="96" t="str">
        <f t="shared" ref="A298:B298" si="482">A297</f>
        <v>SAINTS</v>
      </c>
      <c r="B298" s="96">
        <f t="shared" si="482"/>
        <v>6</v>
      </c>
      <c r="C298" s="96">
        <f>C297</f>
        <v>16</v>
      </c>
      <c r="D298" s="128" t="s">
        <v>42</v>
      </c>
      <c r="E298" s="152">
        <v>5</v>
      </c>
      <c r="F298" s="152">
        <v>11</v>
      </c>
      <c r="G298" s="152">
        <v>8</v>
      </c>
      <c r="H298" s="152">
        <v>15</v>
      </c>
      <c r="I298" s="152">
        <v>13</v>
      </c>
      <c r="J298" s="152">
        <v>26</v>
      </c>
      <c r="K298" s="152">
        <v>1</v>
      </c>
      <c r="L298" s="152">
        <v>1</v>
      </c>
      <c r="M298" s="152">
        <v>4</v>
      </c>
      <c r="N298" s="152">
        <v>3</v>
      </c>
      <c r="O298" s="152">
        <v>35</v>
      </c>
      <c r="P298" s="152">
        <v>7</v>
      </c>
      <c r="Q298" s="152">
        <v>5</v>
      </c>
      <c r="R298" s="152">
        <v>0</v>
      </c>
      <c r="S298" s="152">
        <v>1</v>
      </c>
      <c r="T298" s="152">
        <v>3</v>
      </c>
      <c r="U298" s="152">
        <v>0</v>
      </c>
      <c r="V298" s="153">
        <v>0.5</v>
      </c>
      <c r="W298" s="153">
        <v>1</v>
      </c>
      <c r="X298" s="153">
        <v>0.45454545454545453</v>
      </c>
      <c r="Y298" s="153">
        <v>0.53333333333333333</v>
      </c>
      <c r="Z298" s="154">
        <v>27.200000000000003</v>
      </c>
      <c r="AA298" s="98" t="str">
        <f>AA297</f>
        <v>REG</v>
      </c>
    </row>
    <row r="299" spans="1:27" ht="40" customHeight="1" x14ac:dyDescent="0.2">
      <c r="A299" s="96" t="str">
        <f>A298</f>
        <v>SAINTS</v>
      </c>
      <c r="B299" s="96">
        <f>B298</f>
        <v>6</v>
      </c>
      <c r="C299" s="96">
        <f>C298</f>
        <v>16</v>
      </c>
      <c r="D299" s="128" t="s">
        <v>43</v>
      </c>
      <c r="E299" s="155">
        <v>2</v>
      </c>
      <c r="F299" s="155">
        <v>5</v>
      </c>
      <c r="G299" s="155">
        <v>0</v>
      </c>
      <c r="H299" s="155">
        <v>2</v>
      </c>
      <c r="I299" s="155">
        <v>2</v>
      </c>
      <c r="J299" s="155">
        <v>7</v>
      </c>
      <c r="K299" s="155">
        <v>0</v>
      </c>
      <c r="L299" s="155">
        <v>0</v>
      </c>
      <c r="M299" s="155">
        <v>4</v>
      </c>
      <c r="N299" s="155">
        <v>10</v>
      </c>
      <c r="O299" s="155">
        <v>4</v>
      </c>
      <c r="P299" s="155">
        <v>14</v>
      </c>
      <c r="Q299" s="155">
        <v>2</v>
      </c>
      <c r="R299" s="155">
        <v>1</v>
      </c>
      <c r="S299" s="155">
        <v>2</v>
      </c>
      <c r="T299" s="155">
        <v>1</v>
      </c>
      <c r="U299" s="155">
        <v>1</v>
      </c>
      <c r="V299" s="156">
        <v>0.2857142857142857</v>
      </c>
      <c r="W299" s="156">
        <v>0</v>
      </c>
      <c r="X299" s="156">
        <v>0.4</v>
      </c>
      <c r="Y299" s="156">
        <v>0</v>
      </c>
      <c r="Z299" s="157">
        <v>8.3999999999999986</v>
      </c>
      <c r="AA299" s="98" t="str">
        <f>AA298</f>
        <v>REG</v>
      </c>
    </row>
    <row r="300" spans="1:27" ht="40" customHeight="1" x14ac:dyDescent="0.2">
      <c r="A300" s="96" t="str">
        <f>A299</f>
        <v>SAINTS</v>
      </c>
      <c r="B300" s="96">
        <v>6</v>
      </c>
      <c r="C300" s="96">
        <f>C299</f>
        <v>16</v>
      </c>
      <c r="D300" s="128" t="s">
        <v>54</v>
      </c>
      <c r="E300" s="158">
        <v>0</v>
      </c>
      <c r="F300" s="158">
        <v>4</v>
      </c>
      <c r="G300" s="158">
        <v>0</v>
      </c>
      <c r="H300" s="158">
        <v>3</v>
      </c>
      <c r="I300" s="158">
        <v>0</v>
      </c>
      <c r="J300" s="158">
        <v>7</v>
      </c>
      <c r="K300" s="158">
        <v>0</v>
      </c>
      <c r="L300" s="158">
        <v>0</v>
      </c>
      <c r="M300" s="158">
        <v>2</v>
      </c>
      <c r="N300" s="158">
        <v>6</v>
      </c>
      <c r="O300" s="158">
        <v>0</v>
      </c>
      <c r="P300" s="158">
        <v>8</v>
      </c>
      <c r="Q300" s="158">
        <v>3</v>
      </c>
      <c r="R300" s="158">
        <v>0</v>
      </c>
      <c r="S300" s="158">
        <v>0</v>
      </c>
      <c r="T300" s="158">
        <v>2</v>
      </c>
      <c r="U300" s="158">
        <v>0</v>
      </c>
      <c r="V300" s="159">
        <v>0</v>
      </c>
      <c r="W300" s="159">
        <v>0</v>
      </c>
      <c r="X300" s="159">
        <v>0</v>
      </c>
      <c r="Y300" s="159">
        <v>0</v>
      </c>
      <c r="Z300" s="160">
        <v>-1.6</v>
      </c>
      <c r="AA300" s="100" t="str">
        <f>AA299</f>
        <v>REG</v>
      </c>
    </row>
    <row r="301" spans="1:27" ht="40" customHeight="1" x14ac:dyDescent="0.2">
      <c r="A301" s="96" t="str">
        <f>A300</f>
        <v>SAINTS</v>
      </c>
      <c r="B301" s="96">
        <f t="shared" ref="B301" si="483">B300</f>
        <v>6</v>
      </c>
      <c r="C301" s="96">
        <f t="shared" ref="C301" si="484">C300</f>
        <v>16</v>
      </c>
      <c r="D301" s="128" t="s">
        <v>31</v>
      </c>
      <c r="E301" s="142">
        <v>19</v>
      </c>
      <c r="F301" s="142">
        <v>51</v>
      </c>
      <c r="G301" s="142">
        <v>10</v>
      </c>
      <c r="H301" s="142">
        <v>29</v>
      </c>
      <c r="I301" s="142">
        <v>29</v>
      </c>
      <c r="J301" s="142">
        <v>80</v>
      </c>
      <c r="K301" s="142">
        <v>2</v>
      </c>
      <c r="L301" s="142">
        <v>2</v>
      </c>
      <c r="M301" s="142">
        <v>17</v>
      </c>
      <c r="N301" s="142">
        <v>40</v>
      </c>
      <c r="O301" s="142">
        <v>70</v>
      </c>
      <c r="P301" s="142">
        <v>57</v>
      </c>
      <c r="Q301" s="142">
        <v>17</v>
      </c>
      <c r="R301" s="142">
        <v>1</v>
      </c>
      <c r="S301" s="142">
        <v>6</v>
      </c>
      <c r="T301" s="142">
        <v>11</v>
      </c>
      <c r="U301" s="142">
        <v>4</v>
      </c>
      <c r="V301" s="161">
        <v>0.36249999999999999</v>
      </c>
      <c r="W301" s="161">
        <v>1</v>
      </c>
      <c r="X301" s="161">
        <v>0.37254901960784315</v>
      </c>
      <c r="Y301" s="161">
        <v>0.34482758620689657</v>
      </c>
      <c r="Z301" s="162">
        <v>11.1</v>
      </c>
      <c r="AA301" s="96" t="str">
        <f t="shared" ref="AA301" si="485">AA300</f>
        <v>REG</v>
      </c>
    </row>
    <row r="302" spans="1:27" ht="40" customHeight="1" x14ac:dyDescent="0.2">
      <c r="A302" s="96" t="s">
        <v>38</v>
      </c>
      <c r="B302" s="96">
        <f>B301</f>
        <v>6</v>
      </c>
      <c r="C302" s="96">
        <f>C301</f>
        <v>16</v>
      </c>
      <c r="D302" s="163" t="s">
        <v>24</v>
      </c>
      <c r="E302" s="163"/>
      <c r="F302" s="167"/>
      <c r="G302" s="163"/>
      <c r="H302" s="163"/>
      <c r="I302" s="163"/>
      <c r="J302" s="163"/>
      <c r="K302" s="163"/>
      <c r="L302" s="163"/>
      <c r="M302" s="163"/>
      <c r="N302" s="163"/>
      <c r="O302" s="163">
        <v>66</v>
      </c>
      <c r="P302" s="163"/>
      <c r="Q302" s="163"/>
      <c r="R302" s="163"/>
      <c r="S302" s="163"/>
      <c r="T302" s="163"/>
      <c r="U302" s="163"/>
      <c r="V302" s="163"/>
      <c r="W302" s="163"/>
      <c r="X302" s="163"/>
      <c r="Y302" s="163"/>
      <c r="Z302" s="163"/>
      <c r="AA302" s="98" t="str">
        <f>AA301</f>
        <v>REG</v>
      </c>
    </row>
    <row r="303" spans="1:27" ht="40" customHeight="1" x14ac:dyDescent="0.2">
      <c r="A303" s="96" t="str">
        <f>D309</f>
        <v>LIGHTNING 1</v>
      </c>
      <c r="B303" s="96">
        <v>6</v>
      </c>
      <c r="C303" s="96">
        <f>C296+1</f>
        <v>17</v>
      </c>
      <c r="D303" s="128" t="s">
        <v>40</v>
      </c>
      <c r="E303" s="143">
        <v>7</v>
      </c>
      <c r="F303" s="143">
        <v>15</v>
      </c>
      <c r="G303" s="143">
        <v>0</v>
      </c>
      <c r="H303" s="143">
        <v>4</v>
      </c>
      <c r="I303" s="143">
        <v>7</v>
      </c>
      <c r="J303" s="143">
        <v>19</v>
      </c>
      <c r="K303" s="143">
        <v>0</v>
      </c>
      <c r="L303" s="143">
        <v>0</v>
      </c>
      <c r="M303" s="143">
        <v>8</v>
      </c>
      <c r="N303" s="143">
        <v>15</v>
      </c>
      <c r="O303" s="143">
        <v>14</v>
      </c>
      <c r="P303" s="143">
        <v>23</v>
      </c>
      <c r="Q303" s="143">
        <v>7</v>
      </c>
      <c r="R303" s="143">
        <v>1</v>
      </c>
      <c r="S303" s="143">
        <v>3</v>
      </c>
      <c r="T303" s="143">
        <v>5</v>
      </c>
      <c r="U303" s="143">
        <v>1</v>
      </c>
      <c r="V303" s="144">
        <v>0.36842105263157893</v>
      </c>
      <c r="W303" s="144">
        <v>0</v>
      </c>
      <c r="X303" s="144">
        <v>0.46666666666666667</v>
      </c>
      <c r="Y303" s="144">
        <v>0</v>
      </c>
      <c r="Z303" s="145">
        <v>16.8</v>
      </c>
      <c r="AA303" s="98" t="s">
        <v>34</v>
      </c>
    </row>
    <row r="304" spans="1:27" ht="40" customHeight="1" x14ac:dyDescent="0.2">
      <c r="A304" s="96" t="str">
        <f t="shared" ref="A304:B304" si="486">A303</f>
        <v>LIGHTNING 1</v>
      </c>
      <c r="B304" s="96">
        <f t="shared" si="486"/>
        <v>6</v>
      </c>
      <c r="C304" s="96">
        <f>C303</f>
        <v>17</v>
      </c>
      <c r="D304" s="128" t="s">
        <v>47</v>
      </c>
      <c r="E304" s="149">
        <v>3</v>
      </c>
      <c r="F304" s="149">
        <v>5</v>
      </c>
      <c r="G304" s="149">
        <v>1</v>
      </c>
      <c r="H304" s="149">
        <v>3</v>
      </c>
      <c r="I304" s="149">
        <v>4</v>
      </c>
      <c r="J304" s="149">
        <v>8</v>
      </c>
      <c r="K304" s="149">
        <v>0</v>
      </c>
      <c r="L304" s="149">
        <v>0</v>
      </c>
      <c r="M304" s="149">
        <v>2</v>
      </c>
      <c r="N304" s="149">
        <v>5</v>
      </c>
      <c r="O304" s="149">
        <v>9</v>
      </c>
      <c r="P304" s="149">
        <v>7</v>
      </c>
      <c r="Q304" s="149">
        <v>4</v>
      </c>
      <c r="R304" s="149">
        <v>1</v>
      </c>
      <c r="S304" s="149">
        <v>1</v>
      </c>
      <c r="T304" s="149">
        <v>3</v>
      </c>
      <c r="U304" s="149">
        <v>2</v>
      </c>
      <c r="V304" s="150">
        <v>0.5</v>
      </c>
      <c r="W304" s="150">
        <v>0</v>
      </c>
      <c r="X304" s="150">
        <v>0.6</v>
      </c>
      <c r="Y304" s="150">
        <v>0.33333333333333331</v>
      </c>
      <c r="Z304" s="151">
        <v>8.5999999999999979</v>
      </c>
      <c r="AA304" s="98" t="str">
        <f>AA303</f>
        <v>FINAL</v>
      </c>
    </row>
    <row r="305" spans="1:27" ht="40" customHeight="1" x14ac:dyDescent="0.2">
      <c r="A305" s="96" t="str">
        <f t="shared" ref="A305" si="487">A304</f>
        <v>LIGHTNING 1</v>
      </c>
      <c r="B305" s="96">
        <v>6</v>
      </c>
      <c r="C305" s="96">
        <f t="shared" ref="C305" si="488">C304</f>
        <v>17</v>
      </c>
      <c r="D305" s="128" t="s">
        <v>42</v>
      </c>
      <c r="E305" s="152">
        <v>6</v>
      </c>
      <c r="F305" s="152">
        <v>13</v>
      </c>
      <c r="G305" s="152">
        <v>4</v>
      </c>
      <c r="H305" s="152">
        <v>9</v>
      </c>
      <c r="I305" s="152">
        <v>10</v>
      </c>
      <c r="J305" s="152">
        <v>22</v>
      </c>
      <c r="K305" s="152">
        <v>4</v>
      </c>
      <c r="L305" s="152">
        <v>5</v>
      </c>
      <c r="M305" s="152">
        <v>5</v>
      </c>
      <c r="N305" s="152">
        <v>2</v>
      </c>
      <c r="O305" s="152">
        <v>28</v>
      </c>
      <c r="P305" s="152">
        <v>7</v>
      </c>
      <c r="Q305" s="152">
        <v>4</v>
      </c>
      <c r="R305" s="152">
        <v>0</v>
      </c>
      <c r="S305" s="152">
        <v>1</v>
      </c>
      <c r="T305" s="152">
        <v>3</v>
      </c>
      <c r="U305" s="152">
        <v>1</v>
      </c>
      <c r="V305" s="153">
        <v>0.45454545454545453</v>
      </c>
      <c r="W305" s="153">
        <v>0.8</v>
      </c>
      <c r="X305" s="153">
        <v>0.46153846153846156</v>
      </c>
      <c r="Y305" s="153">
        <v>0.44444444444444442</v>
      </c>
      <c r="Z305" s="154">
        <v>20.700000000000006</v>
      </c>
      <c r="AA305" s="98" t="str">
        <f t="shared" ref="AA305:AA308" si="489">AA304</f>
        <v>FINAL</v>
      </c>
    </row>
    <row r="306" spans="1:27" ht="40" customHeight="1" x14ac:dyDescent="0.2">
      <c r="A306" s="96" t="str">
        <f>A305</f>
        <v>LIGHTNING 1</v>
      </c>
      <c r="B306" s="96">
        <f>B305</f>
        <v>6</v>
      </c>
      <c r="C306" s="96">
        <f>C305</f>
        <v>17</v>
      </c>
      <c r="D306" s="128" t="s">
        <v>43</v>
      </c>
      <c r="E306" s="155">
        <v>7</v>
      </c>
      <c r="F306" s="155">
        <v>12</v>
      </c>
      <c r="G306" s="155">
        <v>3</v>
      </c>
      <c r="H306" s="155">
        <v>7</v>
      </c>
      <c r="I306" s="155">
        <v>10</v>
      </c>
      <c r="J306" s="155">
        <v>19</v>
      </c>
      <c r="K306" s="155">
        <v>0</v>
      </c>
      <c r="L306" s="155">
        <v>0</v>
      </c>
      <c r="M306" s="155">
        <v>1</v>
      </c>
      <c r="N306" s="155">
        <v>6</v>
      </c>
      <c r="O306" s="155">
        <v>23</v>
      </c>
      <c r="P306" s="155">
        <v>7</v>
      </c>
      <c r="Q306" s="155">
        <v>3</v>
      </c>
      <c r="R306" s="155">
        <v>1</v>
      </c>
      <c r="S306" s="155">
        <v>5</v>
      </c>
      <c r="T306" s="155">
        <v>3</v>
      </c>
      <c r="U306" s="155">
        <v>1</v>
      </c>
      <c r="V306" s="156">
        <v>0.52631578947368418</v>
      </c>
      <c r="W306" s="156">
        <v>0</v>
      </c>
      <c r="X306" s="156">
        <v>0.58333333333333337</v>
      </c>
      <c r="Y306" s="156">
        <v>0.42857142857142855</v>
      </c>
      <c r="Z306" s="157">
        <v>20.599999999999998</v>
      </c>
      <c r="AA306" s="98" t="str">
        <f>AA305</f>
        <v>FINAL</v>
      </c>
    </row>
    <row r="307" spans="1:27" ht="40" customHeight="1" x14ac:dyDescent="0.2">
      <c r="A307" s="96" t="str">
        <f>A306</f>
        <v>LIGHTNING 1</v>
      </c>
      <c r="B307" s="96">
        <v>6</v>
      </c>
      <c r="C307" s="96">
        <f>C306</f>
        <v>17</v>
      </c>
      <c r="D307" s="128" t="s">
        <v>54</v>
      </c>
      <c r="E307" s="158">
        <v>0</v>
      </c>
      <c r="F307" s="158">
        <v>4</v>
      </c>
      <c r="G307" s="158">
        <v>0</v>
      </c>
      <c r="H307" s="158">
        <v>2</v>
      </c>
      <c r="I307" s="158">
        <v>0</v>
      </c>
      <c r="J307" s="158">
        <v>6</v>
      </c>
      <c r="K307" s="158">
        <v>0</v>
      </c>
      <c r="L307" s="158">
        <v>0</v>
      </c>
      <c r="M307" s="158">
        <v>2</v>
      </c>
      <c r="N307" s="158">
        <v>6</v>
      </c>
      <c r="O307" s="158">
        <v>0</v>
      </c>
      <c r="P307" s="158">
        <v>8</v>
      </c>
      <c r="Q307" s="158">
        <v>4</v>
      </c>
      <c r="R307" s="158">
        <v>1</v>
      </c>
      <c r="S307" s="158">
        <v>1</v>
      </c>
      <c r="T307" s="158">
        <v>0</v>
      </c>
      <c r="U307" s="158">
        <v>0</v>
      </c>
      <c r="V307" s="159">
        <v>0</v>
      </c>
      <c r="W307" s="159">
        <v>0</v>
      </c>
      <c r="X307" s="159">
        <v>0</v>
      </c>
      <c r="Y307" s="159">
        <v>0</v>
      </c>
      <c r="Z307" s="160">
        <v>3.5</v>
      </c>
      <c r="AA307" s="100" t="str">
        <f>AA306</f>
        <v>FINAL</v>
      </c>
    </row>
    <row r="308" spans="1:27" ht="40" customHeight="1" x14ac:dyDescent="0.2">
      <c r="A308" s="96" t="str">
        <f>A307</f>
        <v>LIGHTNING 1</v>
      </c>
      <c r="B308" s="96">
        <f t="shared" ref="B308" si="490">B307</f>
        <v>6</v>
      </c>
      <c r="C308" s="96">
        <f t="shared" ref="C308" si="491">C307</f>
        <v>17</v>
      </c>
      <c r="D308" s="128" t="s">
        <v>31</v>
      </c>
      <c r="E308" s="142">
        <v>23</v>
      </c>
      <c r="F308" s="142">
        <v>49</v>
      </c>
      <c r="G308" s="142">
        <v>8</v>
      </c>
      <c r="H308" s="142">
        <v>25</v>
      </c>
      <c r="I308" s="142">
        <v>31</v>
      </c>
      <c r="J308" s="142">
        <v>74</v>
      </c>
      <c r="K308" s="142">
        <v>4</v>
      </c>
      <c r="L308" s="142">
        <v>5</v>
      </c>
      <c r="M308" s="142">
        <v>18</v>
      </c>
      <c r="N308" s="142">
        <v>34</v>
      </c>
      <c r="O308" s="142">
        <v>74</v>
      </c>
      <c r="P308" s="142">
        <v>52</v>
      </c>
      <c r="Q308" s="142">
        <v>22</v>
      </c>
      <c r="R308" s="142">
        <v>4</v>
      </c>
      <c r="S308" s="142">
        <v>11</v>
      </c>
      <c r="T308" s="142">
        <v>14</v>
      </c>
      <c r="U308" s="142">
        <v>5</v>
      </c>
      <c r="V308" s="161">
        <v>0.41891891891891891</v>
      </c>
      <c r="W308" s="161">
        <v>0.8</v>
      </c>
      <c r="X308" s="161">
        <v>0.46938775510204084</v>
      </c>
      <c r="Y308" s="161">
        <v>0.32</v>
      </c>
      <c r="Z308" s="162">
        <v>14.040000000000001</v>
      </c>
      <c r="AA308" s="96" t="str">
        <f t="shared" si="489"/>
        <v>FINAL</v>
      </c>
    </row>
    <row r="309" spans="1:27" ht="40" customHeight="1" x14ac:dyDescent="0.2">
      <c r="A309" s="96" t="s">
        <v>38</v>
      </c>
      <c r="B309" s="96">
        <f>B308</f>
        <v>6</v>
      </c>
      <c r="C309" s="96">
        <f>C308</f>
        <v>17</v>
      </c>
      <c r="D309" s="163" t="s">
        <v>28</v>
      </c>
      <c r="E309" s="163"/>
      <c r="F309" s="163"/>
      <c r="G309" s="167"/>
      <c r="H309" s="163"/>
      <c r="I309" s="163"/>
      <c r="J309" s="163"/>
      <c r="K309" s="163"/>
      <c r="L309" s="163"/>
      <c r="M309" s="163"/>
      <c r="N309" s="163"/>
      <c r="O309" s="163">
        <v>49</v>
      </c>
      <c r="P309" s="163"/>
      <c r="Q309" s="163"/>
      <c r="R309" s="163"/>
      <c r="S309" s="163"/>
      <c r="T309" s="163"/>
      <c r="U309" s="163"/>
      <c r="V309" s="163"/>
      <c r="W309" s="163"/>
      <c r="X309" s="163"/>
      <c r="Y309" s="163"/>
      <c r="Z309" s="163"/>
      <c r="AA309" s="98" t="str">
        <f>AA308</f>
        <v>FINAL</v>
      </c>
    </row>
    <row r="310" spans="1:27" ht="40" customHeight="1" x14ac:dyDescent="0.2">
      <c r="A310" s="96" t="str">
        <f>D318</f>
        <v>SAINTS</v>
      </c>
      <c r="B310" s="96">
        <v>6</v>
      </c>
      <c r="C310" s="96">
        <f>C303+1</f>
        <v>18</v>
      </c>
      <c r="D310" s="128" t="s">
        <v>40</v>
      </c>
      <c r="E310" s="143">
        <v>4</v>
      </c>
      <c r="F310" s="143">
        <v>14</v>
      </c>
      <c r="G310" s="143">
        <v>1</v>
      </c>
      <c r="H310" s="143">
        <v>7</v>
      </c>
      <c r="I310" s="143">
        <v>5</v>
      </c>
      <c r="J310" s="143">
        <v>21</v>
      </c>
      <c r="K310" s="143">
        <v>1</v>
      </c>
      <c r="L310" s="143">
        <v>4</v>
      </c>
      <c r="M310" s="143">
        <v>4</v>
      </c>
      <c r="N310" s="143">
        <v>3</v>
      </c>
      <c r="O310" s="143">
        <v>12</v>
      </c>
      <c r="P310" s="143">
        <v>7</v>
      </c>
      <c r="Q310" s="143">
        <v>2</v>
      </c>
      <c r="R310" s="143">
        <v>0</v>
      </c>
      <c r="S310" s="143">
        <v>0</v>
      </c>
      <c r="T310" s="143">
        <v>1</v>
      </c>
      <c r="U310" s="143">
        <v>3</v>
      </c>
      <c r="V310" s="144">
        <v>0.23809523809523808</v>
      </c>
      <c r="W310" s="144">
        <v>0.25</v>
      </c>
      <c r="X310" s="144">
        <v>0.2857142857142857</v>
      </c>
      <c r="Y310" s="144">
        <v>0.14285714285714285</v>
      </c>
      <c r="Z310" s="145">
        <v>1</v>
      </c>
      <c r="AA310" s="98" t="s">
        <v>34</v>
      </c>
    </row>
    <row r="311" spans="1:27" ht="40" customHeight="1" x14ac:dyDescent="0.2">
      <c r="A311" s="96" t="str">
        <f>A310</f>
        <v>SAINTS</v>
      </c>
      <c r="B311" s="96">
        <v>6</v>
      </c>
      <c r="C311" s="96">
        <f>C310</f>
        <v>18</v>
      </c>
      <c r="D311" s="128" t="s">
        <v>48</v>
      </c>
      <c r="E311" s="146">
        <v>0</v>
      </c>
      <c r="F311" s="146">
        <v>0</v>
      </c>
      <c r="G311" s="146">
        <v>1</v>
      </c>
      <c r="H311" s="146">
        <v>1</v>
      </c>
      <c r="I311" s="146">
        <v>1</v>
      </c>
      <c r="J311" s="146">
        <v>1</v>
      </c>
      <c r="K311" s="146">
        <v>0</v>
      </c>
      <c r="L311" s="146">
        <v>0</v>
      </c>
      <c r="M311" s="146">
        <v>0</v>
      </c>
      <c r="N311" s="146">
        <v>0</v>
      </c>
      <c r="O311" s="146">
        <v>3</v>
      </c>
      <c r="P311" s="146">
        <v>0</v>
      </c>
      <c r="Q311" s="146">
        <v>0</v>
      </c>
      <c r="R311" s="146">
        <v>0</v>
      </c>
      <c r="S311" s="146">
        <v>0</v>
      </c>
      <c r="T311" s="146">
        <v>0</v>
      </c>
      <c r="U311" s="146">
        <v>0</v>
      </c>
      <c r="V311" s="147">
        <v>1</v>
      </c>
      <c r="W311" s="147">
        <v>0</v>
      </c>
      <c r="X311" s="147">
        <v>0</v>
      </c>
      <c r="Y311" s="147">
        <v>1</v>
      </c>
      <c r="Z311" s="148">
        <v>2.7</v>
      </c>
      <c r="AA311" s="98" t="str">
        <f>AA310</f>
        <v>FINAL</v>
      </c>
    </row>
    <row r="312" spans="1:27" ht="40" customHeight="1" x14ac:dyDescent="0.2">
      <c r="A312" s="96" t="str">
        <f>A311</f>
        <v>SAINTS</v>
      </c>
      <c r="B312" s="96">
        <f t="shared" ref="B312:C312" si="492">B311</f>
        <v>6</v>
      </c>
      <c r="C312" s="96">
        <f t="shared" si="492"/>
        <v>18</v>
      </c>
      <c r="D312" s="128" t="s">
        <v>49</v>
      </c>
      <c r="E312" s="139">
        <v>0</v>
      </c>
      <c r="F312" s="139">
        <v>1</v>
      </c>
      <c r="G312" s="139">
        <v>0</v>
      </c>
      <c r="H312" s="139">
        <v>0</v>
      </c>
      <c r="I312" s="139">
        <f>E312+G312</f>
        <v>0</v>
      </c>
      <c r="J312" s="139">
        <f>F312+H312</f>
        <v>1</v>
      </c>
      <c r="K312" s="139">
        <v>1</v>
      </c>
      <c r="L312" s="139">
        <v>4</v>
      </c>
      <c r="M312" s="139">
        <v>1</v>
      </c>
      <c r="N312" s="139">
        <v>1</v>
      </c>
      <c r="O312" s="139">
        <f>(E312*2)+(G312*3)+(K312)</f>
        <v>1</v>
      </c>
      <c r="P312" s="139">
        <f>M312+N312</f>
        <v>2</v>
      </c>
      <c r="Q312" s="139">
        <v>0</v>
      </c>
      <c r="R312" s="139">
        <v>0</v>
      </c>
      <c r="S312" s="139">
        <v>0</v>
      </c>
      <c r="T312" s="139">
        <v>0</v>
      </c>
      <c r="U312" s="139">
        <v>0</v>
      </c>
      <c r="V312" s="140">
        <f>IFERROR((E312+G312)/(F312+H312),0)</f>
        <v>0</v>
      </c>
      <c r="W312" s="140">
        <f>IFERROR(K312/L312,0)</f>
        <v>0.25</v>
      </c>
      <c r="X312" s="140">
        <f>IFERROR(E312/F312,0)</f>
        <v>0</v>
      </c>
      <c r="Y312" s="140">
        <f>IFERROR(G312/H312,0)</f>
        <v>0</v>
      </c>
      <c r="Z312" s="141">
        <f>(O312)+(0.4*I312)-(0.7*J312)-(0.4*(L312-K312))+(0.7*M312)+(0.3*N312)+S312+(0.7*Q312)+(0.7*R312)-(0.4*U312)-T312</f>
        <v>9.9999999999999811E-2</v>
      </c>
      <c r="AA312" s="98" t="str">
        <f>AA311</f>
        <v>FINAL</v>
      </c>
    </row>
    <row r="313" spans="1:27" ht="40" customHeight="1" x14ac:dyDescent="0.2">
      <c r="A313" s="96" t="str">
        <f>A311</f>
        <v>SAINTS</v>
      </c>
      <c r="B313" s="96">
        <v>6</v>
      </c>
      <c r="C313" s="96">
        <f>C311</f>
        <v>18</v>
      </c>
      <c r="D313" s="128" t="s">
        <v>47</v>
      </c>
      <c r="E313" s="149">
        <v>0</v>
      </c>
      <c r="F313" s="149">
        <v>1</v>
      </c>
      <c r="G313" s="149">
        <v>0</v>
      </c>
      <c r="H313" s="149">
        <v>3</v>
      </c>
      <c r="I313" s="149">
        <v>0</v>
      </c>
      <c r="J313" s="149">
        <v>4</v>
      </c>
      <c r="K313" s="149">
        <v>0</v>
      </c>
      <c r="L313" s="149">
        <v>0</v>
      </c>
      <c r="M313" s="149">
        <v>1</v>
      </c>
      <c r="N313" s="149">
        <v>3</v>
      </c>
      <c r="O313" s="149">
        <v>0</v>
      </c>
      <c r="P313" s="149">
        <v>4</v>
      </c>
      <c r="Q313" s="149">
        <v>4</v>
      </c>
      <c r="R313" s="149">
        <v>0</v>
      </c>
      <c r="S313" s="149">
        <v>1</v>
      </c>
      <c r="T313" s="149">
        <v>1</v>
      </c>
      <c r="U313" s="149">
        <v>4</v>
      </c>
      <c r="V313" s="150">
        <v>0</v>
      </c>
      <c r="W313" s="150">
        <v>0</v>
      </c>
      <c r="X313" s="150">
        <v>0</v>
      </c>
      <c r="Y313" s="150">
        <v>0</v>
      </c>
      <c r="Z313" s="151">
        <v>0</v>
      </c>
      <c r="AA313" s="98" t="str">
        <f>AA311</f>
        <v>FINAL</v>
      </c>
    </row>
    <row r="314" spans="1:27" ht="40" customHeight="1" x14ac:dyDescent="0.2">
      <c r="A314" s="96" t="str">
        <f t="shared" ref="A314" si="493">A313</f>
        <v>SAINTS</v>
      </c>
      <c r="B314" s="96">
        <v>6</v>
      </c>
      <c r="C314" s="96">
        <f t="shared" ref="C314" si="494">C313</f>
        <v>18</v>
      </c>
      <c r="D314" s="128" t="s">
        <v>42</v>
      </c>
      <c r="E314" s="152">
        <v>6</v>
      </c>
      <c r="F314" s="152">
        <v>15</v>
      </c>
      <c r="G314" s="152">
        <v>7</v>
      </c>
      <c r="H314" s="152">
        <v>9</v>
      </c>
      <c r="I314" s="152">
        <v>13</v>
      </c>
      <c r="J314" s="152">
        <v>24</v>
      </c>
      <c r="K314" s="152">
        <v>2</v>
      </c>
      <c r="L314" s="152">
        <v>4</v>
      </c>
      <c r="M314" s="152">
        <v>0</v>
      </c>
      <c r="N314" s="152">
        <v>2</v>
      </c>
      <c r="O314" s="152">
        <v>35</v>
      </c>
      <c r="P314" s="152">
        <v>2</v>
      </c>
      <c r="Q314" s="152">
        <v>3</v>
      </c>
      <c r="R314" s="152">
        <v>0</v>
      </c>
      <c r="S314" s="152">
        <v>1</v>
      </c>
      <c r="T314" s="152">
        <v>2</v>
      </c>
      <c r="U314" s="152">
        <v>1</v>
      </c>
      <c r="V314" s="153">
        <v>0.54166666666666663</v>
      </c>
      <c r="W314" s="153">
        <v>0.5</v>
      </c>
      <c r="X314" s="153">
        <v>0.4</v>
      </c>
      <c r="Y314" s="153">
        <v>0.77777777777777779</v>
      </c>
      <c r="Z314" s="154">
        <v>23.900000000000006</v>
      </c>
      <c r="AA314" s="98" t="str">
        <f t="shared" ref="AA314:AA317" si="495">AA313</f>
        <v>FINAL</v>
      </c>
    </row>
    <row r="315" spans="1:27" ht="40" customHeight="1" x14ac:dyDescent="0.2">
      <c r="A315" s="96" t="str">
        <f>A314</f>
        <v>SAINTS</v>
      </c>
      <c r="B315" s="96">
        <f>B314</f>
        <v>6</v>
      </c>
      <c r="C315" s="96">
        <f>C314</f>
        <v>18</v>
      </c>
      <c r="D315" s="128" t="s">
        <v>43</v>
      </c>
      <c r="E315" s="155">
        <v>1</v>
      </c>
      <c r="F315" s="155">
        <v>3</v>
      </c>
      <c r="G315" s="155">
        <v>1</v>
      </c>
      <c r="H315" s="155">
        <v>5</v>
      </c>
      <c r="I315" s="155">
        <v>2</v>
      </c>
      <c r="J315" s="155">
        <v>8</v>
      </c>
      <c r="K315" s="155">
        <v>0</v>
      </c>
      <c r="L315" s="155">
        <v>0</v>
      </c>
      <c r="M315" s="155">
        <v>2</v>
      </c>
      <c r="N315" s="155">
        <v>8</v>
      </c>
      <c r="O315" s="155">
        <v>5</v>
      </c>
      <c r="P315" s="155">
        <v>10</v>
      </c>
      <c r="Q315" s="155">
        <v>4</v>
      </c>
      <c r="R315" s="155">
        <v>4</v>
      </c>
      <c r="S315" s="155">
        <v>4</v>
      </c>
      <c r="T315" s="155">
        <v>3</v>
      </c>
      <c r="U315" s="155">
        <v>3</v>
      </c>
      <c r="V315" s="156">
        <v>0.25</v>
      </c>
      <c r="W315" s="156">
        <v>0</v>
      </c>
      <c r="X315" s="156">
        <v>0.33333333333333331</v>
      </c>
      <c r="Y315" s="156">
        <v>0.2</v>
      </c>
      <c r="Z315" s="157">
        <v>9.4000000000000021</v>
      </c>
      <c r="AA315" s="98" t="str">
        <f>AA314</f>
        <v>FINAL</v>
      </c>
    </row>
    <row r="316" spans="1:27" ht="40" customHeight="1" x14ac:dyDescent="0.2">
      <c r="A316" s="96" t="str">
        <f>A315</f>
        <v>SAINTS</v>
      </c>
      <c r="B316" s="96">
        <v>6</v>
      </c>
      <c r="C316" s="96">
        <f>C315</f>
        <v>18</v>
      </c>
      <c r="D316" s="128" t="s">
        <v>54</v>
      </c>
      <c r="E316" s="158">
        <v>0</v>
      </c>
      <c r="F316" s="158">
        <v>1</v>
      </c>
      <c r="G316" s="158">
        <v>0</v>
      </c>
      <c r="H316" s="158">
        <v>0</v>
      </c>
      <c r="I316" s="158">
        <v>0</v>
      </c>
      <c r="J316" s="158">
        <v>1</v>
      </c>
      <c r="K316" s="158">
        <v>0</v>
      </c>
      <c r="L316" s="158">
        <v>0</v>
      </c>
      <c r="M316" s="158">
        <v>2</v>
      </c>
      <c r="N316" s="158">
        <v>4</v>
      </c>
      <c r="O316" s="158">
        <v>0</v>
      </c>
      <c r="P316" s="158">
        <v>6</v>
      </c>
      <c r="Q316" s="158">
        <v>0</v>
      </c>
      <c r="R316" s="158">
        <v>0</v>
      </c>
      <c r="S316" s="158">
        <v>0</v>
      </c>
      <c r="T316" s="158">
        <v>2</v>
      </c>
      <c r="U316" s="158">
        <v>3</v>
      </c>
      <c r="V316" s="159">
        <v>0</v>
      </c>
      <c r="W316" s="159">
        <v>0</v>
      </c>
      <c r="X316" s="159">
        <v>0</v>
      </c>
      <c r="Y316" s="159">
        <v>0</v>
      </c>
      <c r="Z316" s="160">
        <v>-1.3000000000000003</v>
      </c>
      <c r="AA316" s="100" t="str">
        <f>AA315</f>
        <v>FINAL</v>
      </c>
    </row>
    <row r="317" spans="1:27" ht="40" customHeight="1" x14ac:dyDescent="0.2">
      <c r="A317" s="96" t="str">
        <f>A316</f>
        <v>SAINTS</v>
      </c>
      <c r="B317" s="96">
        <f t="shared" ref="B317" si="496">B316</f>
        <v>6</v>
      </c>
      <c r="C317" s="96">
        <f t="shared" ref="C317" si="497">C316</f>
        <v>18</v>
      </c>
      <c r="D317" s="128" t="s">
        <v>31</v>
      </c>
      <c r="E317" s="142">
        <v>11</v>
      </c>
      <c r="F317" s="142">
        <v>35</v>
      </c>
      <c r="G317" s="142">
        <v>10</v>
      </c>
      <c r="H317" s="142">
        <v>25</v>
      </c>
      <c r="I317" s="142">
        <v>21</v>
      </c>
      <c r="J317" s="142">
        <v>60</v>
      </c>
      <c r="K317" s="142">
        <v>4</v>
      </c>
      <c r="L317" s="142">
        <v>12</v>
      </c>
      <c r="M317" s="142">
        <v>10</v>
      </c>
      <c r="N317" s="142">
        <v>21</v>
      </c>
      <c r="O317" s="142">
        <v>56</v>
      </c>
      <c r="P317" s="142">
        <v>31</v>
      </c>
      <c r="Q317" s="142">
        <v>13</v>
      </c>
      <c r="R317" s="142">
        <v>4</v>
      </c>
      <c r="S317" s="142">
        <v>6</v>
      </c>
      <c r="T317" s="142">
        <v>9</v>
      </c>
      <c r="U317" s="142">
        <v>14</v>
      </c>
      <c r="V317" s="161">
        <v>0.35</v>
      </c>
      <c r="W317" s="161">
        <v>0.33333333333333331</v>
      </c>
      <c r="X317" s="161">
        <v>0.31428571428571428</v>
      </c>
      <c r="Y317" s="161">
        <v>0.4</v>
      </c>
      <c r="Z317" s="162">
        <v>5.1142857142857157</v>
      </c>
      <c r="AA317" s="96" t="str">
        <f t="shared" si="495"/>
        <v>FINAL</v>
      </c>
    </row>
    <row r="318" spans="1:27" ht="40" customHeight="1" x14ac:dyDescent="0.2">
      <c r="A318" s="96" t="s">
        <v>38</v>
      </c>
      <c r="B318" s="96">
        <f>B317</f>
        <v>6</v>
      </c>
      <c r="C318" s="96">
        <f>C317</f>
        <v>18</v>
      </c>
      <c r="D318" s="163" t="s">
        <v>24</v>
      </c>
      <c r="E318" s="163"/>
      <c r="F318" s="163"/>
      <c r="G318" s="166"/>
      <c r="H318" s="163"/>
      <c r="I318" s="163"/>
      <c r="J318" s="163"/>
      <c r="K318" s="163"/>
      <c r="L318" s="163"/>
      <c r="M318" s="163"/>
      <c r="N318" s="163"/>
      <c r="O318" s="163">
        <v>66</v>
      </c>
      <c r="P318" s="163"/>
      <c r="Q318" s="163"/>
      <c r="R318" s="163"/>
      <c r="S318" s="163"/>
      <c r="T318" s="163"/>
      <c r="U318" s="163"/>
      <c r="V318" s="163"/>
      <c r="W318" s="163"/>
      <c r="X318" s="163"/>
      <c r="Y318" s="163"/>
      <c r="Z318" s="163"/>
      <c r="AA318" s="98" t="str">
        <f>AA317</f>
        <v>FINAL</v>
      </c>
    </row>
    <row r="319" spans="1:27" ht="40" customHeight="1" x14ac:dyDescent="0.2">
      <c r="A319" s="96" t="str">
        <f>D326</f>
        <v>MAGIC 4</v>
      </c>
      <c r="B319" s="96">
        <v>5</v>
      </c>
      <c r="C319" s="96">
        <f>1</f>
        <v>1</v>
      </c>
      <c r="D319" s="128" t="s">
        <v>40</v>
      </c>
      <c r="E319" s="143">
        <v>7</v>
      </c>
      <c r="F319" s="143">
        <v>14</v>
      </c>
      <c r="G319" s="143">
        <v>0</v>
      </c>
      <c r="H319" s="143">
        <v>7</v>
      </c>
      <c r="I319" s="143">
        <v>7</v>
      </c>
      <c r="J319" s="143">
        <v>21</v>
      </c>
      <c r="K319" s="143">
        <v>1</v>
      </c>
      <c r="L319" s="143">
        <v>2</v>
      </c>
      <c r="M319" s="143">
        <v>4</v>
      </c>
      <c r="N319" s="143">
        <v>5</v>
      </c>
      <c r="O319" s="143">
        <v>15</v>
      </c>
      <c r="P319" s="143">
        <v>9</v>
      </c>
      <c r="Q319" s="143">
        <v>3</v>
      </c>
      <c r="R319" s="143">
        <v>0</v>
      </c>
      <c r="S319" s="143">
        <v>2</v>
      </c>
      <c r="T319" s="143">
        <v>2</v>
      </c>
      <c r="U319" s="143">
        <v>1</v>
      </c>
      <c r="V319" s="144">
        <v>0.33333333333333331</v>
      </c>
      <c r="W319" s="144">
        <v>0.5</v>
      </c>
      <c r="X319" s="144">
        <v>0.5</v>
      </c>
      <c r="Y319" s="144">
        <v>0</v>
      </c>
      <c r="Z319" s="145">
        <v>8.9</v>
      </c>
      <c r="AA319" s="98" t="s">
        <v>33</v>
      </c>
    </row>
    <row r="320" spans="1:27" ht="40" customHeight="1" x14ac:dyDescent="0.2">
      <c r="A320" s="96" t="str">
        <f>A319</f>
        <v>MAGIC 4</v>
      </c>
      <c r="B320" s="96">
        <f>B319</f>
        <v>5</v>
      </c>
      <c r="C320" s="96">
        <f>C319</f>
        <v>1</v>
      </c>
      <c r="D320" s="128" t="s">
        <v>48</v>
      </c>
      <c r="E320" s="146">
        <v>5</v>
      </c>
      <c r="F320" s="146">
        <v>10</v>
      </c>
      <c r="G320" s="146">
        <v>0</v>
      </c>
      <c r="H320" s="146">
        <v>3</v>
      </c>
      <c r="I320" s="146">
        <v>5</v>
      </c>
      <c r="J320" s="146">
        <v>13</v>
      </c>
      <c r="K320" s="146">
        <v>0</v>
      </c>
      <c r="L320" s="146">
        <v>0</v>
      </c>
      <c r="M320" s="146">
        <v>1</v>
      </c>
      <c r="N320" s="146">
        <v>4</v>
      </c>
      <c r="O320" s="146">
        <v>10</v>
      </c>
      <c r="P320" s="146">
        <v>5</v>
      </c>
      <c r="Q320" s="146">
        <v>2</v>
      </c>
      <c r="R320" s="146">
        <v>0</v>
      </c>
      <c r="S320" s="146">
        <v>3</v>
      </c>
      <c r="T320" s="146">
        <v>1</v>
      </c>
      <c r="U320" s="146">
        <v>4</v>
      </c>
      <c r="V320" s="147">
        <v>0.38461538461538464</v>
      </c>
      <c r="W320" s="147">
        <v>0</v>
      </c>
      <c r="X320" s="147">
        <v>0.5</v>
      </c>
      <c r="Y320" s="147">
        <v>0</v>
      </c>
      <c r="Z320" s="148">
        <v>7.2000000000000011</v>
      </c>
      <c r="AA320" s="98" t="str">
        <f>AA319</f>
        <v>REG</v>
      </c>
    </row>
    <row r="321" spans="1:27" ht="40" customHeight="1" x14ac:dyDescent="0.2">
      <c r="A321" s="96" t="str">
        <f>A320</f>
        <v>MAGIC 4</v>
      </c>
      <c r="B321" s="96">
        <f t="shared" ref="B321:C321" si="498">B320</f>
        <v>5</v>
      </c>
      <c r="C321" s="96">
        <f t="shared" si="498"/>
        <v>1</v>
      </c>
      <c r="D321" s="128" t="s">
        <v>47</v>
      </c>
      <c r="E321" s="149">
        <v>3</v>
      </c>
      <c r="F321" s="149">
        <v>8</v>
      </c>
      <c r="G321" s="149">
        <v>0</v>
      </c>
      <c r="H321" s="149">
        <v>2</v>
      </c>
      <c r="I321" s="149">
        <v>3</v>
      </c>
      <c r="J321" s="149">
        <v>10</v>
      </c>
      <c r="K321" s="149">
        <v>2</v>
      </c>
      <c r="L321" s="149">
        <v>4</v>
      </c>
      <c r="M321" s="149">
        <v>0</v>
      </c>
      <c r="N321" s="149">
        <v>2</v>
      </c>
      <c r="O321" s="149">
        <v>8</v>
      </c>
      <c r="P321" s="149">
        <v>2</v>
      </c>
      <c r="Q321" s="149">
        <v>2</v>
      </c>
      <c r="R321" s="149">
        <v>0</v>
      </c>
      <c r="S321" s="149">
        <v>2</v>
      </c>
      <c r="T321" s="149">
        <v>1</v>
      </c>
      <c r="U321" s="149">
        <v>2</v>
      </c>
      <c r="V321" s="150">
        <v>0.3</v>
      </c>
      <c r="W321" s="150">
        <v>0.5</v>
      </c>
      <c r="X321" s="150">
        <v>0.375</v>
      </c>
      <c r="Y321" s="150">
        <v>0</v>
      </c>
      <c r="Z321" s="151">
        <v>3.9999999999999991</v>
      </c>
      <c r="AA321" s="98" t="str">
        <f>AA320</f>
        <v>REG</v>
      </c>
    </row>
    <row r="322" spans="1:27" ht="40" customHeight="1" x14ac:dyDescent="0.2">
      <c r="A322" s="96" t="str">
        <f>A320</f>
        <v>MAGIC 4</v>
      </c>
      <c r="B322" s="96">
        <f t="shared" ref="B322" si="499">B321</f>
        <v>5</v>
      </c>
      <c r="C322" s="96">
        <f>C320</f>
        <v>1</v>
      </c>
      <c r="D322" s="128" t="s">
        <v>93</v>
      </c>
      <c r="E322" s="172">
        <v>3</v>
      </c>
      <c r="F322" s="172">
        <v>8</v>
      </c>
      <c r="G322" s="172">
        <v>0</v>
      </c>
      <c r="H322" s="172">
        <v>1</v>
      </c>
      <c r="I322" s="172">
        <v>3</v>
      </c>
      <c r="J322" s="172">
        <v>9</v>
      </c>
      <c r="K322" s="172">
        <v>0</v>
      </c>
      <c r="L322" s="172">
        <v>0</v>
      </c>
      <c r="M322" s="172">
        <v>1</v>
      </c>
      <c r="N322" s="172">
        <v>4</v>
      </c>
      <c r="O322" s="172">
        <v>6</v>
      </c>
      <c r="P322" s="172">
        <v>5</v>
      </c>
      <c r="Q322" s="172">
        <v>4</v>
      </c>
      <c r="R322" s="172">
        <v>1</v>
      </c>
      <c r="S322" s="172">
        <v>3</v>
      </c>
      <c r="T322" s="172">
        <v>4</v>
      </c>
      <c r="U322" s="172">
        <v>3</v>
      </c>
      <c r="V322" s="173">
        <v>0.33333333333333331</v>
      </c>
      <c r="W322" s="173">
        <v>0</v>
      </c>
      <c r="X322" s="173">
        <v>0.375</v>
      </c>
      <c r="Y322" s="173">
        <v>0</v>
      </c>
      <c r="Z322" s="174">
        <v>4.6999999999999993</v>
      </c>
      <c r="AA322" s="98" t="str">
        <f>AA320</f>
        <v>REG</v>
      </c>
    </row>
    <row r="323" spans="1:27" ht="40" customHeight="1" x14ac:dyDescent="0.2">
      <c r="A323" s="96" t="str">
        <f t="shared" ref="A323:B323" si="500">A322</f>
        <v>MAGIC 4</v>
      </c>
      <c r="B323" s="96">
        <f t="shared" si="500"/>
        <v>5</v>
      </c>
      <c r="C323" s="96">
        <f t="shared" ref="C323" si="501">C322</f>
        <v>1</v>
      </c>
      <c r="D323" s="128" t="s">
        <v>94</v>
      </c>
      <c r="E323" s="175">
        <v>1</v>
      </c>
      <c r="F323" s="175">
        <v>1</v>
      </c>
      <c r="G323" s="175">
        <v>0</v>
      </c>
      <c r="H323" s="175">
        <v>0</v>
      </c>
      <c r="I323" s="175">
        <v>1</v>
      </c>
      <c r="J323" s="175">
        <v>1</v>
      </c>
      <c r="K323" s="175">
        <v>1</v>
      </c>
      <c r="L323" s="175">
        <v>2</v>
      </c>
      <c r="M323" s="175">
        <v>1</v>
      </c>
      <c r="N323" s="175">
        <v>2</v>
      </c>
      <c r="O323" s="175">
        <v>3</v>
      </c>
      <c r="P323" s="175">
        <v>3</v>
      </c>
      <c r="Q323" s="175">
        <v>1</v>
      </c>
      <c r="R323" s="175">
        <v>1</v>
      </c>
      <c r="S323" s="175">
        <v>1</v>
      </c>
      <c r="T323" s="175">
        <v>0</v>
      </c>
      <c r="U323" s="175">
        <v>3</v>
      </c>
      <c r="V323" s="176">
        <v>1</v>
      </c>
      <c r="W323" s="176">
        <v>0.5</v>
      </c>
      <c r="X323" s="176">
        <v>1</v>
      </c>
      <c r="Y323" s="176">
        <v>0</v>
      </c>
      <c r="Z323" s="177">
        <v>5.0000000000000009</v>
      </c>
      <c r="AA323" s="98" t="str">
        <f t="shared" ref="AA323:AA325" si="502">AA322</f>
        <v>REG</v>
      </c>
    </row>
    <row r="324" spans="1:27" ht="40" customHeight="1" x14ac:dyDescent="0.2">
      <c r="A324" s="96" t="str">
        <f t="shared" ref="A324:B324" si="503">A323</f>
        <v>MAGIC 4</v>
      </c>
      <c r="B324" s="96">
        <f t="shared" si="503"/>
        <v>5</v>
      </c>
      <c r="C324" s="96">
        <f>C323</f>
        <v>1</v>
      </c>
      <c r="D324" s="128" t="s">
        <v>96</v>
      </c>
      <c r="E324" s="182">
        <v>2</v>
      </c>
      <c r="F324" s="182">
        <v>10</v>
      </c>
      <c r="G324" s="182">
        <v>0</v>
      </c>
      <c r="H324" s="182">
        <v>1</v>
      </c>
      <c r="I324" s="182">
        <v>2</v>
      </c>
      <c r="J324" s="182">
        <v>11</v>
      </c>
      <c r="K324" s="182">
        <v>0</v>
      </c>
      <c r="L324" s="182">
        <v>1</v>
      </c>
      <c r="M324" s="182">
        <v>3</v>
      </c>
      <c r="N324" s="182">
        <v>9</v>
      </c>
      <c r="O324" s="182">
        <v>4</v>
      </c>
      <c r="P324" s="182">
        <v>12</v>
      </c>
      <c r="Q324" s="182">
        <v>1</v>
      </c>
      <c r="R324" s="182">
        <v>0</v>
      </c>
      <c r="S324" s="182">
        <v>0</v>
      </c>
      <c r="T324" s="182">
        <v>6</v>
      </c>
      <c r="U324" s="182">
        <v>1</v>
      </c>
      <c r="V324" s="183">
        <v>0.18181818181818182</v>
      </c>
      <c r="W324" s="183">
        <v>0</v>
      </c>
      <c r="X324" s="183">
        <v>0.2</v>
      </c>
      <c r="Y324" s="183">
        <v>0</v>
      </c>
      <c r="Z324" s="184">
        <v>-2.9999999999999996</v>
      </c>
      <c r="AA324" s="100" t="str">
        <f>AA323</f>
        <v>REG</v>
      </c>
    </row>
    <row r="325" spans="1:27" ht="40" customHeight="1" x14ac:dyDescent="0.2">
      <c r="A325" s="96" t="str">
        <f>A324</f>
        <v>MAGIC 4</v>
      </c>
      <c r="B325" s="96">
        <f t="shared" ref="B325" si="504">B324</f>
        <v>5</v>
      </c>
      <c r="C325" s="96">
        <f t="shared" ref="C325" si="505">C324</f>
        <v>1</v>
      </c>
      <c r="D325" s="128" t="s">
        <v>31</v>
      </c>
      <c r="E325" s="169">
        <v>21</v>
      </c>
      <c r="F325" s="169">
        <v>51</v>
      </c>
      <c r="G325" s="169">
        <v>0</v>
      </c>
      <c r="H325" s="169">
        <v>14</v>
      </c>
      <c r="I325" s="169">
        <v>21</v>
      </c>
      <c r="J325" s="169">
        <v>65</v>
      </c>
      <c r="K325" s="169">
        <v>4</v>
      </c>
      <c r="L325" s="169">
        <v>9</v>
      </c>
      <c r="M325" s="169">
        <f>SUM(M319:M324)</f>
        <v>10</v>
      </c>
      <c r="N325" s="169">
        <f>SUM(N319:N324)</f>
        <v>26</v>
      </c>
      <c r="O325" s="169">
        <v>46</v>
      </c>
      <c r="P325" s="169">
        <v>36</v>
      </c>
      <c r="Q325" s="169">
        <v>13</v>
      </c>
      <c r="R325" s="169">
        <v>2</v>
      </c>
      <c r="S325" s="169">
        <v>11</v>
      </c>
      <c r="T325" s="169">
        <v>14</v>
      </c>
      <c r="U325" s="169">
        <v>14</v>
      </c>
      <c r="V325" s="185">
        <v>0.32307692307692309</v>
      </c>
      <c r="W325" s="185">
        <v>0.44444444444444442</v>
      </c>
      <c r="X325" s="185">
        <v>0.41176470588235292</v>
      </c>
      <c r="Y325" s="185">
        <v>0</v>
      </c>
      <c r="Z325" s="186">
        <v>4.4666666666666668</v>
      </c>
      <c r="AA325" s="96" t="str">
        <f t="shared" si="502"/>
        <v>REG</v>
      </c>
    </row>
    <row r="326" spans="1:27" ht="40" customHeight="1" x14ac:dyDescent="0.2">
      <c r="A326" s="96" t="s">
        <v>38</v>
      </c>
      <c r="B326" s="96">
        <f t="shared" ref="B326" si="506">B325</f>
        <v>5</v>
      </c>
      <c r="C326" s="96">
        <f>C325</f>
        <v>1</v>
      </c>
      <c r="D326" s="126" t="s">
        <v>91</v>
      </c>
      <c r="E326" s="163"/>
      <c r="F326" s="163"/>
      <c r="G326" s="164"/>
      <c r="H326" s="163"/>
      <c r="I326" s="163"/>
      <c r="J326" s="163"/>
      <c r="K326" s="163"/>
      <c r="L326" s="163"/>
      <c r="O326" s="163">
        <v>47</v>
      </c>
      <c r="P326" s="163"/>
      <c r="Q326" s="163"/>
      <c r="R326" s="163"/>
      <c r="S326" s="163"/>
      <c r="T326" s="163"/>
      <c r="U326" s="163"/>
      <c r="V326" s="163"/>
      <c r="W326" s="163"/>
      <c r="X326" s="163"/>
      <c r="Y326" s="163"/>
      <c r="Z326" s="163"/>
      <c r="AA326" s="98" t="str">
        <f>AA325</f>
        <v>REG</v>
      </c>
    </row>
    <row r="327" spans="1:27" ht="40" customHeight="1" x14ac:dyDescent="0.2">
      <c r="A327" s="96" t="str">
        <f>D334</f>
        <v>PANTHERS 2</v>
      </c>
      <c r="B327" s="96">
        <v>5</v>
      </c>
      <c r="C327" s="96">
        <f>C319+1</f>
        <v>2</v>
      </c>
      <c r="D327" s="128" t="s">
        <v>40</v>
      </c>
      <c r="E327" s="143">
        <v>8</v>
      </c>
      <c r="F327" s="143">
        <v>18</v>
      </c>
      <c r="G327" s="143">
        <v>0</v>
      </c>
      <c r="H327" s="143">
        <v>2</v>
      </c>
      <c r="I327" s="143">
        <v>8</v>
      </c>
      <c r="J327" s="143">
        <v>20</v>
      </c>
      <c r="K327" s="143">
        <v>1</v>
      </c>
      <c r="L327" s="143">
        <v>5</v>
      </c>
      <c r="M327" s="143">
        <v>5</v>
      </c>
      <c r="N327" s="143">
        <v>5</v>
      </c>
      <c r="O327" s="143">
        <v>17</v>
      </c>
      <c r="P327" s="143">
        <v>10</v>
      </c>
      <c r="Q327" s="143">
        <v>1</v>
      </c>
      <c r="R327" s="143">
        <v>0</v>
      </c>
      <c r="S327" s="143">
        <v>0</v>
      </c>
      <c r="T327" s="143">
        <v>1</v>
      </c>
      <c r="U327" s="143">
        <v>3</v>
      </c>
      <c r="V327" s="144">
        <v>0.4</v>
      </c>
      <c r="W327" s="144">
        <v>0.2</v>
      </c>
      <c r="X327" s="144">
        <v>0.44444444444444442</v>
      </c>
      <c r="Y327" s="144">
        <v>0</v>
      </c>
      <c r="Z327" s="145">
        <v>8.0999999999999979</v>
      </c>
      <c r="AA327" s="98" t="s">
        <v>33</v>
      </c>
    </row>
    <row r="328" spans="1:27" ht="40" customHeight="1" x14ac:dyDescent="0.2">
      <c r="A328" s="96" t="str">
        <f>A327</f>
        <v>PANTHERS 2</v>
      </c>
      <c r="B328" s="96">
        <f>B327</f>
        <v>5</v>
      </c>
      <c r="C328" s="96">
        <f>C327</f>
        <v>2</v>
      </c>
      <c r="D328" s="128" t="s">
        <v>48</v>
      </c>
      <c r="E328" s="146">
        <v>5</v>
      </c>
      <c r="F328" s="146">
        <v>8</v>
      </c>
      <c r="G328" s="146">
        <v>2</v>
      </c>
      <c r="H328" s="146">
        <v>5</v>
      </c>
      <c r="I328" s="146">
        <v>7</v>
      </c>
      <c r="J328" s="146">
        <v>13</v>
      </c>
      <c r="K328" s="146">
        <v>0</v>
      </c>
      <c r="L328" s="146">
        <v>0</v>
      </c>
      <c r="M328" s="146">
        <v>1</v>
      </c>
      <c r="N328" s="146">
        <v>4</v>
      </c>
      <c r="O328" s="146">
        <v>16</v>
      </c>
      <c r="P328" s="146">
        <v>5</v>
      </c>
      <c r="Q328" s="146">
        <v>1</v>
      </c>
      <c r="R328" s="146">
        <v>0</v>
      </c>
      <c r="S328" s="146">
        <v>0</v>
      </c>
      <c r="T328" s="146">
        <v>3</v>
      </c>
      <c r="U328" s="146">
        <v>0</v>
      </c>
      <c r="V328" s="147">
        <v>0.53846153846153844</v>
      </c>
      <c r="W328" s="147">
        <v>0</v>
      </c>
      <c r="X328" s="147">
        <v>0.625</v>
      </c>
      <c r="Y328" s="147">
        <v>0.4</v>
      </c>
      <c r="Z328" s="148">
        <v>9.9</v>
      </c>
      <c r="AA328" s="98" t="str">
        <f>AA327</f>
        <v>REG</v>
      </c>
    </row>
    <row r="329" spans="1:27" ht="40" customHeight="1" x14ac:dyDescent="0.2">
      <c r="A329" s="96" t="str">
        <f>A328</f>
        <v>PANTHERS 2</v>
      </c>
      <c r="B329" s="96">
        <f t="shared" ref="B329:C329" si="507">B328</f>
        <v>5</v>
      </c>
      <c r="C329" s="96">
        <f t="shared" si="507"/>
        <v>2</v>
      </c>
      <c r="D329" s="128" t="s">
        <v>47</v>
      </c>
      <c r="E329" s="149">
        <v>2</v>
      </c>
      <c r="F329" s="149">
        <v>6</v>
      </c>
      <c r="G329" s="149">
        <v>1</v>
      </c>
      <c r="H329" s="149">
        <v>5</v>
      </c>
      <c r="I329" s="149">
        <v>3</v>
      </c>
      <c r="J329" s="149">
        <v>11</v>
      </c>
      <c r="K329" s="149">
        <v>1</v>
      </c>
      <c r="L329" s="149">
        <v>0</v>
      </c>
      <c r="M329" s="149">
        <v>1</v>
      </c>
      <c r="N329" s="149">
        <v>4</v>
      </c>
      <c r="O329" s="149">
        <v>8</v>
      </c>
      <c r="P329" s="149">
        <v>1</v>
      </c>
      <c r="Q329" s="149">
        <v>4</v>
      </c>
      <c r="R329" s="149">
        <v>0</v>
      </c>
      <c r="S329" s="149">
        <v>0</v>
      </c>
      <c r="T329" s="149">
        <v>2</v>
      </c>
      <c r="U329" s="149">
        <v>2</v>
      </c>
      <c r="V329" s="150">
        <v>0.27272727272727271</v>
      </c>
      <c r="W329" s="150">
        <v>1</v>
      </c>
      <c r="X329" s="150">
        <v>0.33333333333333331</v>
      </c>
      <c r="Y329" s="150">
        <v>0.2</v>
      </c>
      <c r="Z329" s="151">
        <v>2</v>
      </c>
      <c r="AA329" s="98" t="str">
        <f>AA328</f>
        <v>REG</v>
      </c>
    </row>
    <row r="330" spans="1:27" ht="40" customHeight="1" x14ac:dyDescent="0.2">
      <c r="A330" s="96" t="str">
        <f>A328</f>
        <v>PANTHERS 2</v>
      </c>
      <c r="B330" s="96">
        <f t="shared" ref="B330" si="508">B329</f>
        <v>5</v>
      </c>
      <c r="C330" s="96">
        <f>C328</f>
        <v>2</v>
      </c>
      <c r="D330" s="128" t="s">
        <v>93</v>
      </c>
      <c r="E330" s="172">
        <v>4</v>
      </c>
      <c r="F330" s="172">
        <v>9</v>
      </c>
      <c r="G330" s="172">
        <v>0</v>
      </c>
      <c r="H330" s="172">
        <v>2</v>
      </c>
      <c r="I330" s="172">
        <v>4</v>
      </c>
      <c r="J330" s="172">
        <v>11</v>
      </c>
      <c r="K330" s="172">
        <v>0</v>
      </c>
      <c r="L330" s="172">
        <v>1</v>
      </c>
      <c r="M330" s="172">
        <v>2</v>
      </c>
      <c r="N330" s="172">
        <v>6</v>
      </c>
      <c r="O330" s="172">
        <v>8</v>
      </c>
      <c r="P330" s="172">
        <v>8</v>
      </c>
      <c r="Q330" s="172">
        <v>5</v>
      </c>
      <c r="R330" s="172">
        <v>0</v>
      </c>
      <c r="S330" s="172">
        <v>1</v>
      </c>
      <c r="T330" s="172">
        <v>1</v>
      </c>
      <c r="U330" s="172">
        <v>3</v>
      </c>
      <c r="V330" s="173">
        <v>0.36363636363636365</v>
      </c>
      <c r="W330" s="173">
        <v>0</v>
      </c>
      <c r="X330" s="173">
        <v>0.44444444444444442</v>
      </c>
      <c r="Y330" s="173">
        <v>0</v>
      </c>
      <c r="Z330" s="174">
        <v>7.8000000000000007</v>
      </c>
      <c r="AA330" s="98" t="str">
        <f>AA328</f>
        <v>REG</v>
      </c>
    </row>
    <row r="331" spans="1:27" ht="40" customHeight="1" x14ac:dyDescent="0.2">
      <c r="A331" s="96" t="str">
        <f t="shared" ref="A331:B331" si="509">A330</f>
        <v>PANTHERS 2</v>
      </c>
      <c r="B331" s="96">
        <f t="shared" si="509"/>
        <v>5</v>
      </c>
      <c r="C331" s="96">
        <f t="shared" ref="C331" si="510">C330</f>
        <v>2</v>
      </c>
      <c r="D331" s="128" t="s">
        <v>94</v>
      </c>
      <c r="E331" s="175">
        <v>1</v>
      </c>
      <c r="F331" s="175">
        <v>2</v>
      </c>
      <c r="G331" s="175">
        <v>0</v>
      </c>
      <c r="H331" s="175">
        <v>1</v>
      </c>
      <c r="I331" s="175">
        <v>1</v>
      </c>
      <c r="J331" s="175">
        <v>3</v>
      </c>
      <c r="K331" s="175">
        <v>0</v>
      </c>
      <c r="L331" s="175">
        <v>0</v>
      </c>
      <c r="M331" s="175">
        <v>2</v>
      </c>
      <c r="N331" s="175">
        <v>3</v>
      </c>
      <c r="O331" s="175">
        <v>2</v>
      </c>
      <c r="P331" s="175">
        <v>5</v>
      </c>
      <c r="Q331" s="175">
        <v>0</v>
      </c>
      <c r="R331" s="175">
        <v>1</v>
      </c>
      <c r="S331" s="175">
        <v>3</v>
      </c>
      <c r="T331" s="175">
        <v>2</v>
      </c>
      <c r="U331" s="175">
        <v>4</v>
      </c>
      <c r="V331" s="176">
        <v>0.33333333333333331</v>
      </c>
      <c r="W331" s="176">
        <v>0</v>
      </c>
      <c r="X331" s="176">
        <v>0.5</v>
      </c>
      <c r="Y331" s="176">
        <v>0</v>
      </c>
      <c r="Z331" s="177">
        <v>2.9000000000000004</v>
      </c>
      <c r="AA331" s="98" t="str">
        <f t="shared" ref="AA331:AA333" si="511">AA330</f>
        <v>REG</v>
      </c>
    </row>
    <row r="332" spans="1:27" ht="40" customHeight="1" x14ac:dyDescent="0.2">
      <c r="A332" s="96" t="str">
        <f t="shared" ref="A332:B332" si="512">A331</f>
        <v>PANTHERS 2</v>
      </c>
      <c r="B332" s="96">
        <f t="shared" si="512"/>
        <v>5</v>
      </c>
      <c r="C332" s="96">
        <f>C331</f>
        <v>2</v>
      </c>
      <c r="D332" s="128" t="s">
        <v>96</v>
      </c>
      <c r="E332" s="182">
        <v>5</v>
      </c>
      <c r="F332" s="182">
        <v>8</v>
      </c>
      <c r="G332" s="182">
        <v>0</v>
      </c>
      <c r="H332" s="182">
        <v>0</v>
      </c>
      <c r="I332" s="182">
        <v>5</v>
      </c>
      <c r="J332" s="182">
        <v>8</v>
      </c>
      <c r="K332" s="182">
        <v>1</v>
      </c>
      <c r="L332" s="182">
        <v>2</v>
      </c>
      <c r="M332" s="182">
        <v>2</v>
      </c>
      <c r="N332" s="182">
        <v>12</v>
      </c>
      <c r="O332" s="182">
        <v>11</v>
      </c>
      <c r="P332" s="182">
        <v>14</v>
      </c>
      <c r="Q332" s="182">
        <v>2</v>
      </c>
      <c r="R332" s="182">
        <v>0</v>
      </c>
      <c r="S332" s="182">
        <v>1</v>
      </c>
      <c r="T332" s="182">
        <v>1</v>
      </c>
      <c r="U332" s="182">
        <v>1</v>
      </c>
      <c r="V332" s="183">
        <v>0.625</v>
      </c>
      <c r="W332" s="183">
        <v>0.5</v>
      </c>
      <c r="X332" s="183">
        <v>0.625</v>
      </c>
      <c r="Y332" s="183">
        <v>0</v>
      </c>
      <c r="Z332" s="184">
        <v>14.999999999999998</v>
      </c>
      <c r="AA332" s="100" t="str">
        <f>AA331</f>
        <v>REG</v>
      </c>
    </row>
    <row r="333" spans="1:27" ht="40" customHeight="1" x14ac:dyDescent="0.2">
      <c r="A333" s="96" t="str">
        <f>A332</f>
        <v>PANTHERS 2</v>
      </c>
      <c r="B333" s="96">
        <f t="shared" ref="B333" si="513">B332</f>
        <v>5</v>
      </c>
      <c r="C333" s="96">
        <f t="shared" ref="C333" si="514">C332</f>
        <v>2</v>
      </c>
      <c r="D333" s="128" t="s">
        <v>31</v>
      </c>
      <c r="E333" s="169">
        <v>25</v>
      </c>
      <c r="F333" s="169">
        <v>51</v>
      </c>
      <c r="G333" s="169">
        <v>3</v>
      </c>
      <c r="H333" s="169">
        <v>15</v>
      </c>
      <c r="I333" s="169">
        <v>28</v>
      </c>
      <c r="J333" s="169">
        <v>66</v>
      </c>
      <c r="K333" s="169">
        <v>3</v>
      </c>
      <c r="L333" s="169">
        <v>9</v>
      </c>
      <c r="M333" s="169">
        <f>SUM(M327:M332)</f>
        <v>13</v>
      </c>
      <c r="N333" s="169">
        <f>SUM(N327:N332)</f>
        <v>34</v>
      </c>
      <c r="O333" s="169">
        <v>62</v>
      </c>
      <c r="P333" s="169">
        <v>43</v>
      </c>
      <c r="Q333" s="169">
        <v>13</v>
      </c>
      <c r="R333" s="169">
        <v>1</v>
      </c>
      <c r="S333" s="169">
        <v>5</v>
      </c>
      <c r="T333" s="169">
        <v>10</v>
      </c>
      <c r="U333" s="169">
        <v>13</v>
      </c>
      <c r="V333" s="185">
        <v>0.42424242424242425</v>
      </c>
      <c r="W333" s="185">
        <v>0.33333333333333331</v>
      </c>
      <c r="X333" s="185">
        <v>0.49019607843137253</v>
      </c>
      <c r="Y333" s="185">
        <v>0.2</v>
      </c>
      <c r="Z333" s="186">
        <v>7.6166666666666671</v>
      </c>
      <c r="AA333" s="96" t="str">
        <f t="shared" si="511"/>
        <v>REG</v>
      </c>
    </row>
    <row r="334" spans="1:27" ht="40" customHeight="1" x14ac:dyDescent="0.2">
      <c r="A334" s="96" t="s">
        <v>38</v>
      </c>
      <c r="B334" s="96">
        <f t="shared" ref="B334" si="515">B333</f>
        <v>5</v>
      </c>
      <c r="C334" s="96">
        <f>C333</f>
        <v>2</v>
      </c>
      <c r="D334" s="163" t="s">
        <v>39</v>
      </c>
      <c r="E334" s="163"/>
      <c r="F334" s="163"/>
      <c r="G334" s="163"/>
      <c r="H334" s="163"/>
      <c r="I334" s="165"/>
      <c r="J334" s="163"/>
      <c r="K334" s="163"/>
      <c r="L334" s="163"/>
      <c r="O334" s="163">
        <v>46</v>
      </c>
      <c r="P334" s="163"/>
      <c r="Q334" s="163"/>
      <c r="R334" s="163"/>
      <c r="S334" s="163"/>
      <c r="T334" s="163"/>
      <c r="U334" s="163"/>
      <c r="V334" s="163"/>
      <c r="W334" s="163"/>
      <c r="X334" s="163"/>
      <c r="Y334" s="163"/>
      <c r="Z334" s="163"/>
      <c r="AA334" s="98" t="str">
        <f>AA333</f>
        <v>REG</v>
      </c>
    </row>
    <row r="335" spans="1:27" ht="40" customHeight="1" x14ac:dyDescent="0.2">
      <c r="A335" s="96" t="str">
        <f>D342</f>
        <v>SAINTS</v>
      </c>
      <c r="B335" s="96">
        <v>5</v>
      </c>
      <c r="C335" s="96">
        <f>C327+1</f>
        <v>3</v>
      </c>
      <c r="D335" s="128" t="s">
        <v>40</v>
      </c>
      <c r="E335" s="143">
        <v>8</v>
      </c>
      <c r="F335" s="143">
        <v>12</v>
      </c>
      <c r="G335" s="143">
        <v>0</v>
      </c>
      <c r="H335" s="143">
        <v>5</v>
      </c>
      <c r="I335" s="143">
        <v>8</v>
      </c>
      <c r="J335" s="143">
        <v>17</v>
      </c>
      <c r="K335" s="143">
        <v>0</v>
      </c>
      <c r="L335" s="143">
        <v>2</v>
      </c>
      <c r="M335" s="143">
        <v>2</v>
      </c>
      <c r="N335" s="143">
        <v>4</v>
      </c>
      <c r="O335" s="143">
        <v>16</v>
      </c>
      <c r="P335" s="143">
        <v>6</v>
      </c>
      <c r="Q335" s="143">
        <v>2</v>
      </c>
      <c r="R335" s="143">
        <v>0</v>
      </c>
      <c r="S335" s="143">
        <v>0</v>
      </c>
      <c r="T335" s="143">
        <v>0</v>
      </c>
      <c r="U335" s="143">
        <v>2</v>
      </c>
      <c r="V335" s="144">
        <v>0.47058823529411764</v>
      </c>
      <c r="W335" s="144">
        <v>0</v>
      </c>
      <c r="X335" s="144">
        <v>0.66666666666666663</v>
      </c>
      <c r="Y335" s="144">
        <v>0</v>
      </c>
      <c r="Z335" s="145">
        <v>10.1</v>
      </c>
      <c r="AA335" s="98" t="s">
        <v>33</v>
      </c>
    </row>
    <row r="336" spans="1:27" ht="40" customHeight="1" x14ac:dyDescent="0.2">
      <c r="A336" s="96" t="str">
        <f>A335</f>
        <v>SAINTS</v>
      </c>
      <c r="B336" s="96">
        <f>B335</f>
        <v>5</v>
      </c>
      <c r="C336" s="96">
        <f>C335</f>
        <v>3</v>
      </c>
      <c r="D336" s="128" t="s">
        <v>48</v>
      </c>
      <c r="E336" s="146">
        <v>2</v>
      </c>
      <c r="F336" s="146">
        <v>3</v>
      </c>
      <c r="G336" s="146">
        <v>3</v>
      </c>
      <c r="H336" s="146">
        <v>6</v>
      </c>
      <c r="I336" s="146">
        <v>5</v>
      </c>
      <c r="J336" s="146">
        <v>9</v>
      </c>
      <c r="K336" s="146">
        <v>0</v>
      </c>
      <c r="L336" s="146">
        <v>2</v>
      </c>
      <c r="M336" s="146">
        <v>0</v>
      </c>
      <c r="N336" s="146">
        <v>2</v>
      </c>
      <c r="O336" s="146">
        <v>13</v>
      </c>
      <c r="P336" s="146">
        <v>2</v>
      </c>
      <c r="Q336" s="146">
        <v>1</v>
      </c>
      <c r="R336" s="146">
        <v>0</v>
      </c>
      <c r="S336" s="146">
        <v>2</v>
      </c>
      <c r="T336" s="146">
        <v>3</v>
      </c>
      <c r="U336" s="146">
        <v>4</v>
      </c>
      <c r="V336" s="147">
        <v>0.55555555555555558</v>
      </c>
      <c r="W336" s="147">
        <v>0</v>
      </c>
      <c r="X336" s="147">
        <v>0.66666666666666663</v>
      </c>
      <c r="Y336" s="147">
        <v>0.5</v>
      </c>
      <c r="Z336" s="148">
        <v>6.9999999999999982</v>
      </c>
      <c r="AA336" s="98" t="str">
        <f>AA335</f>
        <v>REG</v>
      </c>
    </row>
    <row r="337" spans="1:27" ht="40" customHeight="1" x14ac:dyDescent="0.2">
      <c r="A337" s="96" t="str">
        <f>A336</f>
        <v>SAINTS</v>
      </c>
      <c r="B337" s="96">
        <f t="shared" ref="B337:C338" si="516">B336</f>
        <v>5</v>
      </c>
      <c r="C337" s="96">
        <f t="shared" si="516"/>
        <v>3</v>
      </c>
      <c r="D337" s="128" t="s">
        <v>47</v>
      </c>
      <c r="E337" s="149">
        <v>1</v>
      </c>
      <c r="F337" s="149">
        <v>5</v>
      </c>
      <c r="G337" s="149">
        <v>0</v>
      </c>
      <c r="H337" s="149">
        <v>4</v>
      </c>
      <c r="I337" s="149">
        <v>1</v>
      </c>
      <c r="J337" s="149">
        <v>9</v>
      </c>
      <c r="K337" s="149">
        <v>2</v>
      </c>
      <c r="L337" s="149">
        <v>6</v>
      </c>
      <c r="M337" s="149">
        <v>0</v>
      </c>
      <c r="N337" s="149">
        <v>3</v>
      </c>
      <c r="O337" s="149">
        <v>4</v>
      </c>
      <c r="P337" s="149">
        <v>3</v>
      </c>
      <c r="Q337" s="149">
        <v>3</v>
      </c>
      <c r="R337" s="149">
        <v>0</v>
      </c>
      <c r="S337" s="149">
        <v>4</v>
      </c>
      <c r="T337" s="149">
        <v>1</v>
      </c>
      <c r="U337" s="149">
        <v>4</v>
      </c>
      <c r="V337" s="150">
        <v>0.1111111111111111</v>
      </c>
      <c r="W337" s="150">
        <v>0.33333333333333331</v>
      </c>
      <c r="X337" s="150">
        <v>0.2</v>
      </c>
      <c r="Y337" s="150">
        <v>0</v>
      </c>
      <c r="Z337" s="151">
        <v>1.4999999999999996</v>
      </c>
      <c r="AA337" s="98" t="str">
        <f>AA336</f>
        <v>REG</v>
      </c>
    </row>
    <row r="338" spans="1:27" ht="40" customHeight="1" x14ac:dyDescent="0.2">
      <c r="A338" s="96" t="str">
        <f>A336</f>
        <v>SAINTS</v>
      </c>
      <c r="B338" s="96">
        <f t="shared" si="516"/>
        <v>5</v>
      </c>
      <c r="C338" s="96">
        <f>C336</f>
        <v>3</v>
      </c>
      <c r="D338" s="128" t="s">
        <v>93</v>
      </c>
      <c r="E338" s="172">
        <v>3</v>
      </c>
      <c r="F338" s="172">
        <v>5</v>
      </c>
      <c r="G338" s="172">
        <v>0</v>
      </c>
      <c r="H338" s="172">
        <v>2</v>
      </c>
      <c r="I338" s="172">
        <v>3</v>
      </c>
      <c r="J338" s="172">
        <v>7</v>
      </c>
      <c r="K338" s="172">
        <v>0</v>
      </c>
      <c r="L338" s="172">
        <v>1</v>
      </c>
      <c r="M338" s="172">
        <v>1</v>
      </c>
      <c r="N338" s="172">
        <v>7</v>
      </c>
      <c r="O338" s="172">
        <v>6</v>
      </c>
      <c r="P338" s="172">
        <v>8</v>
      </c>
      <c r="Q338" s="172">
        <v>3</v>
      </c>
      <c r="R338" s="172">
        <v>0</v>
      </c>
      <c r="S338" s="172">
        <v>3</v>
      </c>
      <c r="T338" s="172">
        <v>5</v>
      </c>
      <c r="U338" s="172">
        <v>2</v>
      </c>
      <c r="V338" s="173">
        <v>0.42857142857142855</v>
      </c>
      <c r="W338" s="173">
        <v>0</v>
      </c>
      <c r="X338" s="173">
        <v>0.6</v>
      </c>
      <c r="Y338" s="173">
        <v>0</v>
      </c>
      <c r="Z338" s="174">
        <v>5.1999999999999993</v>
      </c>
      <c r="AA338" s="98" t="str">
        <f>AA336</f>
        <v>REG</v>
      </c>
    </row>
    <row r="339" spans="1:27" ht="40" customHeight="1" x14ac:dyDescent="0.2">
      <c r="A339" s="96" t="str">
        <f t="shared" ref="A339:C342" si="517">A338</f>
        <v>SAINTS</v>
      </c>
      <c r="B339" s="96">
        <f t="shared" si="517"/>
        <v>5</v>
      </c>
      <c r="C339" s="96">
        <f t="shared" si="517"/>
        <v>3</v>
      </c>
      <c r="D339" s="128" t="s">
        <v>94</v>
      </c>
      <c r="E339" s="175">
        <v>2</v>
      </c>
      <c r="F339" s="175">
        <v>7</v>
      </c>
      <c r="G339" s="175">
        <v>0</v>
      </c>
      <c r="H339" s="175">
        <v>0</v>
      </c>
      <c r="I339" s="175">
        <v>2</v>
      </c>
      <c r="J339" s="175">
        <v>7</v>
      </c>
      <c r="K339" s="175">
        <v>0</v>
      </c>
      <c r="L339" s="175">
        <v>0</v>
      </c>
      <c r="M339" s="175">
        <v>4</v>
      </c>
      <c r="N339" s="175">
        <v>6</v>
      </c>
      <c r="O339" s="175">
        <v>4</v>
      </c>
      <c r="P339" s="175">
        <v>10</v>
      </c>
      <c r="Q339" s="175">
        <v>0</v>
      </c>
      <c r="R339" s="175">
        <v>0</v>
      </c>
      <c r="S339" s="175">
        <v>0</v>
      </c>
      <c r="T339" s="175">
        <v>0</v>
      </c>
      <c r="U339" s="175">
        <v>4</v>
      </c>
      <c r="V339" s="176">
        <v>0.2857142857142857</v>
      </c>
      <c r="W339" s="176">
        <v>0</v>
      </c>
      <c r="X339" s="176">
        <v>0.2857142857142857</v>
      </c>
      <c r="Y339" s="176">
        <v>0</v>
      </c>
      <c r="Z339" s="177">
        <v>3.3000000000000003</v>
      </c>
      <c r="AA339" s="98" t="str">
        <f t="shared" ref="AA339:AA341" si="518">AA338</f>
        <v>REG</v>
      </c>
    </row>
    <row r="340" spans="1:27" ht="40" customHeight="1" x14ac:dyDescent="0.2">
      <c r="A340" s="96" t="str">
        <f t="shared" ref="A340:B340" si="519">A339</f>
        <v>SAINTS</v>
      </c>
      <c r="B340" s="96">
        <f t="shared" si="519"/>
        <v>5</v>
      </c>
      <c r="C340" s="96">
        <f>C339</f>
        <v>3</v>
      </c>
      <c r="D340" s="128" t="s">
        <v>96</v>
      </c>
      <c r="E340" s="182">
        <v>3</v>
      </c>
      <c r="F340" s="182">
        <v>10</v>
      </c>
      <c r="G340" s="182">
        <v>0</v>
      </c>
      <c r="H340" s="182">
        <v>1</v>
      </c>
      <c r="I340" s="182">
        <v>3</v>
      </c>
      <c r="J340" s="182">
        <v>11</v>
      </c>
      <c r="K340" s="182">
        <v>0</v>
      </c>
      <c r="L340" s="182">
        <v>0</v>
      </c>
      <c r="M340" s="182">
        <v>1</v>
      </c>
      <c r="N340" s="182">
        <v>9</v>
      </c>
      <c r="O340" s="182">
        <v>6</v>
      </c>
      <c r="P340" s="182">
        <v>10</v>
      </c>
      <c r="Q340" s="182">
        <v>1</v>
      </c>
      <c r="R340" s="182">
        <v>0</v>
      </c>
      <c r="S340" s="182">
        <v>1</v>
      </c>
      <c r="T340" s="182">
        <v>1</v>
      </c>
      <c r="U340" s="182">
        <v>4</v>
      </c>
      <c r="V340" s="183">
        <v>0.27272727272727271</v>
      </c>
      <c r="W340" s="183">
        <v>0</v>
      </c>
      <c r="X340" s="183">
        <v>0.3</v>
      </c>
      <c r="Y340" s="183">
        <v>0</v>
      </c>
      <c r="Z340" s="184">
        <v>3.6000000000000014</v>
      </c>
      <c r="AA340" s="100" t="str">
        <f>AA339</f>
        <v>REG</v>
      </c>
    </row>
    <row r="341" spans="1:27" ht="40" customHeight="1" x14ac:dyDescent="0.2">
      <c r="A341" s="96" t="str">
        <f>A340</f>
        <v>SAINTS</v>
      </c>
      <c r="B341" s="96">
        <f t="shared" si="517"/>
        <v>5</v>
      </c>
      <c r="C341" s="96">
        <f t="shared" si="517"/>
        <v>3</v>
      </c>
      <c r="D341" s="128" t="s">
        <v>31</v>
      </c>
      <c r="E341" s="169">
        <v>19</v>
      </c>
      <c r="F341" s="169">
        <v>42</v>
      </c>
      <c r="G341" s="169">
        <v>3</v>
      </c>
      <c r="H341" s="169">
        <v>18</v>
      </c>
      <c r="I341" s="169">
        <v>22</v>
      </c>
      <c r="J341" s="169">
        <v>60</v>
      </c>
      <c r="K341" s="169">
        <v>2</v>
      </c>
      <c r="L341" s="169">
        <v>11</v>
      </c>
      <c r="M341" s="169">
        <f>SUM(M335:M340)</f>
        <v>8</v>
      </c>
      <c r="N341" s="169">
        <f>SUM(N335:N340)</f>
        <v>31</v>
      </c>
      <c r="O341" s="169">
        <v>49</v>
      </c>
      <c r="P341" s="169">
        <v>39</v>
      </c>
      <c r="Q341" s="169">
        <v>10</v>
      </c>
      <c r="R341" s="169">
        <v>0</v>
      </c>
      <c r="S341" s="169">
        <v>10</v>
      </c>
      <c r="T341" s="169">
        <v>10</v>
      </c>
      <c r="U341" s="169">
        <v>20</v>
      </c>
      <c r="V341" s="185">
        <v>0.36666666666666664</v>
      </c>
      <c r="W341" s="185">
        <v>0.18181818181818182</v>
      </c>
      <c r="X341" s="185">
        <v>0.45238095238095238</v>
      </c>
      <c r="Y341" s="185">
        <v>0.16666666666666666</v>
      </c>
      <c r="Z341" s="186">
        <v>5.1166666666666663</v>
      </c>
      <c r="AA341" s="96" t="str">
        <f t="shared" si="518"/>
        <v>REG</v>
      </c>
    </row>
    <row r="342" spans="1:27" ht="40" customHeight="1" x14ac:dyDescent="0.2">
      <c r="A342" s="96" t="s">
        <v>38</v>
      </c>
      <c r="B342" s="96">
        <f t="shared" si="517"/>
        <v>5</v>
      </c>
      <c r="C342" s="96">
        <f>C341</f>
        <v>3</v>
      </c>
      <c r="D342" s="163" t="s">
        <v>24</v>
      </c>
      <c r="E342" s="163"/>
      <c r="F342" s="163"/>
      <c r="G342" s="163"/>
      <c r="H342" s="165"/>
      <c r="I342" s="163"/>
      <c r="J342" s="163"/>
      <c r="K342" s="163"/>
      <c r="L342" s="163"/>
      <c r="M342" s="163"/>
      <c r="N342" s="163"/>
      <c r="O342" s="163">
        <v>43</v>
      </c>
      <c r="P342" s="163"/>
      <c r="Q342" s="163"/>
      <c r="R342" s="163"/>
      <c r="S342" s="163"/>
      <c r="T342" s="163"/>
      <c r="U342" s="163"/>
      <c r="V342" s="163"/>
      <c r="W342" s="163"/>
      <c r="X342" s="163"/>
      <c r="Y342" s="163"/>
      <c r="Z342" s="163"/>
      <c r="AA342" s="98" t="str">
        <f>AA341</f>
        <v>REG</v>
      </c>
    </row>
    <row r="343" spans="1:27" ht="40" customHeight="1" x14ac:dyDescent="0.2">
      <c r="A343" s="96" t="str">
        <f>D349</f>
        <v>MAGIC 3</v>
      </c>
      <c r="B343" s="96">
        <v>5</v>
      </c>
      <c r="C343" s="96">
        <f>C335+1</f>
        <v>4</v>
      </c>
      <c r="D343" s="128" t="s">
        <v>40</v>
      </c>
      <c r="E343" s="143">
        <v>9</v>
      </c>
      <c r="F343" s="143">
        <v>13</v>
      </c>
      <c r="G343" s="143">
        <v>0</v>
      </c>
      <c r="H343" s="143">
        <v>2</v>
      </c>
      <c r="I343" s="143">
        <v>9</v>
      </c>
      <c r="J343" s="143">
        <v>15</v>
      </c>
      <c r="K343" s="143">
        <v>2</v>
      </c>
      <c r="L343" s="143">
        <v>4</v>
      </c>
      <c r="M343" s="143">
        <v>2</v>
      </c>
      <c r="N343" s="143">
        <v>4</v>
      </c>
      <c r="O343" s="143">
        <v>20</v>
      </c>
      <c r="P343" s="143">
        <v>6</v>
      </c>
      <c r="Q343" s="143">
        <v>3</v>
      </c>
      <c r="R343" s="143">
        <v>0</v>
      </c>
      <c r="S343" s="143">
        <v>3</v>
      </c>
      <c r="T343" s="143">
        <v>5</v>
      </c>
      <c r="U343" s="143">
        <v>0</v>
      </c>
      <c r="V343" s="144">
        <v>0.6</v>
      </c>
      <c r="W343" s="144">
        <v>0.5</v>
      </c>
      <c r="X343" s="144">
        <v>0.69230769230769229</v>
      </c>
      <c r="Y343" s="144">
        <v>0</v>
      </c>
      <c r="Z343" s="145">
        <v>15.399999999999999</v>
      </c>
      <c r="AA343" s="98" t="s">
        <v>33</v>
      </c>
    </row>
    <row r="344" spans="1:27" ht="40" customHeight="1" x14ac:dyDescent="0.2">
      <c r="A344" s="96" t="str">
        <f>A343</f>
        <v>MAGIC 3</v>
      </c>
      <c r="B344" s="96">
        <f>B343</f>
        <v>5</v>
      </c>
      <c r="C344" s="96">
        <f>C343</f>
        <v>4</v>
      </c>
      <c r="D344" s="128" t="s">
        <v>48</v>
      </c>
      <c r="E344" s="146">
        <v>3</v>
      </c>
      <c r="F344" s="146">
        <v>7</v>
      </c>
      <c r="G344" s="146">
        <v>1</v>
      </c>
      <c r="H344" s="146">
        <v>4</v>
      </c>
      <c r="I344" s="146">
        <v>4</v>
      </c>
      <c r="J344" s="146">
        <v>11</v>
      </c>
      <c r="K344" s="146">
        <v>1</v>
      </c>
      <c r="L344" s="146">
        <v>3</v>
      </c>
      <c r="M344" s="146">
        <v>1</v>
      </c>
      <c r="N344" s="146">
        <v>6</v>
      </c>
      <c r="O344" s="146">
        <v>10</v>
      </c>
      <c r="P344" s="146">
        <v>7</v>
      </c>
      <c r="Q344" s="146">
        <v>1</v>
      </c>
      <c r="R344" s="146">
        <v>0</v>
      </c>
      <c r="S344" s="146">
        <v>1</v>
      </c>
      <c r="T344" s="146">
        <v>3</v>
      </c>
      <c r="U344" s="146">
        <v>1</v>
      </c>
      <c r="V344" s="147">
        <v>0.36363636363636365</v>
      </c>
      <c r="W344" s="147">
        <v>0.33333333333333331</v>
      </c>
      <c r="X344" s="147">
        <v>0.42857142857142855</v>
      </c>
      <c r="Y344" s="147">
        <v>0.25</v>
      </c>
      <c r="Z344" s="148">
        <v>4.9000000000000004</v>
      </c>
      <c r="AA344" s="98" t="str">
        <f>AA343</f>
        <v>REG</v>
      </c>
    </row>
    <row r="345" spans="1:27" ht="40" customHeight="1" x14ac:dyDescent="0.2">
      <c r="A345" s="96" t="str">
        <f>A344</f>
        <v>MAGIC 3</v>
      </c>
      <c r="B345" s="96">
        <f t="shared" ref="B345:C347" si="520">B344</f>
        <v>5</v>
      </c>
      <c r="C345" s="96">
        <f t="shared" si="520"/>
        <v>4</v>
      </c>
      <c r="D345" s="128" t="s">
        <v>47</v>
      </c>
      <c r="E345" s="149">
        <v>2</v>
      </c>
      <c r="F345" s="149">
        <v>5</v>
      </c>
      <c r="G345" s="149">
        <v>0</v>
      </c>
      <c r="H345" s="149">
        <v>4</v>
      </c>
      <c r="I345" s="149">
        <v>2</v>
      </c>
      <c r="J345" s="149">
        <v>9</v>
      </c>
      <c r="K345" s="149">
        <v>0</v>
      </c>
      <c r="L345" s="149">
        <v>0</v>
      </c>
      <c r="M345" s="149">
        <v>0</v>
      </c>
      <c r="N345" s="149">
        <v>3</v>
      </c>
      <c r="O345" s="149">
        <v>4</v>
      </c>
      <c r="P345" s="149">
        <v>3</v>
      </c>
      <c r="Q345" s="149">
        <v>1</v>
      </c>
      <c r="R345" s="149">
        <v>0</v>
      </c>
      <c r="S345" s="149">
        <v>4</v>
      </c>
      <c r="T345" s="149">
        <v>4</v>
      </c>
      <c r="U345" s="149">
        <v>1</v>
      </c>
      <c r="V345" s="150">
        <v>0.22222222222222221</v>
      </c>
      <c r="W345" s="150">
        <v>0</v>
      </c>
      <c r="X345" s="150">
        <v>0.4</v>
      </c>
      <c r="Y345" s="150">
        <v>0</v>
      </c>
      <c r="Z345" s="151">
        <v>0.29999999999999982</v>
      </c>
      <c r="AA345" s="98" t="str">
        <f>AA344</f>
        <v>REG</v>
      </c>
    </row>
    <row r="346" spans="1:27" ht="40" customHeight="1" x14ac:dyDescent="0.2">
      <c r="A346" s="96" t="str">
        <f>A344</f>
        <v>MAGIC 3</v>
      </c>
      <c r="B346" s="96">
        <f t="shared" si="520"/>
        <v>5</v>
      </c>
      <c r="C346" s="96">
        <f>C344</f>
        <v>4</v>
      </c>
      <c r="D346" s="128" t="s">
        <v>93</v>
      </c>
      <c r="E346" s="172">
        <v>0</v>
      </c>
      <c r="F346" s="172">
        <v>2</v>
      </c>
      <c r="G346" s="172">
        <v>0</v>
      </c>
      <c r="H346" s="172">
        <v>2</v>
      </c>
      <c r="I346" s="172">
        <v>0</v>
      </c>
      <c r="J346" s="172">
        <v>4</v>
      </c>
      <c r="K346" s="172">
        <v>5</v>
      </c>
      <c r="L346" s="172">
        <v>8</v>
      </c>
      <c r="M346" s="172">
        <v>1</v>
      </c>
      <c r="N346" s="172">
        <v>5</v>
      </c>
      <c r="O346" s="172">
        <v>5</v>
      </c>
      <c r="P346" s="172">
        <v>6</v>
      </c>
      <c r="Q346" s="172">
        <v>6</v>
      </c>
      <c r="R346" s="172">
        <v>1</v>
      </c>
      <c r="S346" s="172">
        <v>2</v>
      </c>
      <c r="T346" s="172">
        <v>3</v>
      </c>
      <c r="U346" s="172">
        <v>1</v>
      </c>
      <c r="V346" s="173">
        <v>0</v>
      </c>
      <c r="W346" s="173">
        <v>0.625</v>
      </c>
      <c r="X346" s="173">
        <v>0</v>
      </c>
      <c r="Y346" s="173">
        <v>0</v>
      </c>
      <c r="Z346" s="174">
        <v>7.4999999999999982</v>
      </c>
      <c r="AA346" s="98" t="str">
        <f>AA344</f>
        <v>REG</v>
      </c>
    </row>
    <row r="347" spans="1:27" ht="40" customHeight="1" x14ac:dyDescent="0.2">
      <c r="A347" s="96" t="str">
        <f t="shared" ref="A347" si="521">A346</f>
        <v>MAGIC 3</v>
      </c>
      <c r="B347" s="96">
        <f t="shared" si="520"/>
        <v>5</v>
      </c>
      <c r="C347" s="96">
        <f>C346</f>
        <v>4</v>
      </c>
      <c r="D347" s="128" t="s">
        <v>96</v>
      </c>
      <c r="E347" s="182">
        <v>6</v>
      </c>
      <c r="F347" s="182">
        <v>11</v>
      </c>
      <c r="G347" s="182">
        <v>0</v>
      </c>
      <c r="H347" s="182">
        <v>0</v>
      </c>
      <c r="I347" s="182">
        <v>6</v>
      </c>
      <c r="J347" s="182">
        <v>11</v>
      </c>
      <c r="K347" s="182">
        <v>0</v>
      </c>
      <c r="L347" s="182">
        <v>0</v>
      </c>
      <c r="M347" s="182">
        <v>3</v>
      </c>
      <c r="N347" s="182">
        <v>13</v>
      </c>
      <c r="O347" s="182">
        <v>12</v>
      </c>
      <c r="P347" s="182">
        <v>16</v>
      </c>
      <c r="Q347" s="182">
        <v>1</v>
      </c>
      <c r="R347" s="182">
        <v>0</v>
      </c>
      <c r="S347" s="182">
        <v>0</v>
      </c>
      <c r="T347" s="182">
        <v>3</v>
      </c>
      <c r="U347" s="182">
        <v>3</v>
      </c>
      <c r="V347" s="183">
        <v>0.54545454545454541</v>
      </c>
      <c r="W347" s="183">
        <v>0</v>
      </c>
      <c r="X347" s="183">
        <v>0.54545454545454541</v>
      </c>
      <c r="Y347" s="183">
        <v>0</v>
      </c>
      <c r="Z347" s="184">
        <v>11.2</v>
      </c>
      <c r="AA347" s="100" t="str">
        <f>AA346</f>
        <v>REG</v>
      </c>
    </row>
    <row r="348" spans="1:27" ht="40" customHeight="1" x14ac:dyDescent="0.2">
      <c r="A348" s="96" t="str">
        <f>A347</f>
        <v>MAGIC 3</v>
      </c>
      <c r="B348" s="96">
        <f t="shared" ref="B348:C349" si="522">B347</f>
        <v>5</v>
      </c>
      <c r="C348" s="96">
        <f t="shared" si="522"/>
        <v>4</v>
      </c>
      <c r="D348" s="128" t="s">
        <v>31</v>
      </c>
      <c r="E348" s="169">
        <v>20</v>
      </c>
      <c r="F348" s="169">
        <v>38</v>
      </c>
      <c r="G348" s="169">
        <v>1</v>
      </c>
      <c r="H348" s="169">
        <v>12</v>
      </c>
      <c r="I348" s="169">
        <v>21</v>
      </c>
      <c r="J348" s="169">
        <v>50</v>
      </c>
      <c r="K348" s="169">
        <v>8</v>
      </c>
      <c r="L348" s="169">
        <v>15</v>
      </c>
      <c r="M348" s="169">
        <f>SUM(M343:M347)</f>
        <v>7</v>
      </c>
      <c r="N348" s="169">
        <f>SUM(N343:N347)</f>
        <v>31</v>
      </c>
      <c r="O348" s="169">
        <v>51</v>
      </c>
      <c r="P348" s="169">
        <v>38</v>
      </c>
      <c r="Q348" s="169">
        <v>12</v>
      </c>
      <c r="R348" s="169">
        <v>1</v>
      </c>
      <c r="S348" s="169">
        <v>10</v>
      </c>
      <c r="T348" s="169">
        <v>18</v>
      </c>
      <c r="U348" s="169">
        <v>6</v>
      </c>
      <c r="V348" s="185">
        <v>0.42</v>
      </c>
      <c r="W348" s="185">
        <v>0.53333333333333333</v>
      </c>
      <c r="X348" s="185">
        <v>0.52631578947368418</v>
      </c>
      <c r="Y348" s="185">
        <v>8.3333333333333329E-2</v>
      </c>
      <c r="Z348" s="186">
        <v>7.8599999999999994</v>
      </c>
      <c r="AA348" s="96" t="str">
        <f t="shared" ref="AA348" si="523">AA347</f>
        <v>REG</v>
      </c>
    </row>
    <row r="349" spans="1:27" ht="40" customHeight="1" x14ac:dyDescent="0.2">
      <c r="A349" s="96" t="s">
        <v>38</v>
      </c>
      <c r="B349" s="96">
        <f t="shared" si="522"/>
        <v>5</v>
      </c>
      <c r="C349" s="96">
        <f>C348</f>
        <v>4</v>
      </c>
      <c r="D349" s="163" t="s">
        <v>92</v>
      </c>
      <c r="E349" s="163"/>
      <c r="F349" s="163"/>
      <c r="G349" s="163"/>
      <c r="H349" s="165"/>
      <c r="I349" s="163"/>
      <c r="J349" s="163"/>
      <c r="K349" s="163"/>
      <c r="L349" s="163"/>
      <c r="O349" s="163">
        <v>49</v>
      </c>
      <c r="P349" s="163"/>
      <c r="Q349" s="163"/>
      <c r="R349" s="163"/>
      <c r="S349" s="163"/>
      <c r="T349" s="163"/>
      <c r="U349" s="163"/>
      <c r="V349" s="163"/>
      <c r="W349" s="163"/>
      <c r="X349" s="163"/>
      <c r="Y349" s="163"/>
      <c r="Z349" s="163"/>
      <c r="AA349" s="98" t="str">
        <f>AA348</f>
        <v>REG</v>
      </c>
    </row>
    <row r="350" spans="1:27" ht="40" customHeight="1" x14ac:dyDescent="0.2">
      <c r="A350" s="96" t="str">
        <f>D356</f>
        <v>MAGIC 1</v>
      </c>
      <c r="B350" s="96">
        <v>5</v>
      </c>
      <c r="C350" s="96">
        <f>C343+1</f>
        <v>5</v>
      </c>
      <c r="D350" s="128" t="s">
        <v>40</v>
      </c>
      <c r="E350" s="143">
        <v>8</v>
      </c>
      <c r="F350" s="143">
        <v>14</v>
      </c>
      <c r="G350" s="143">
        <v>0</v>
      </c>
      <c r="H350" s="143">
        <v>9</v>
      </c>
      <c r="I350" s="143">
        <v>8</v>
      </c>
      <c r="J350" s="143">
        <v>23</v>
      </c>
      <c r="K350" s="143">
        <v>0</v>
      </c>
      <c r="L350" s="143">
        <v>0</v>
      </c>
      <c r="M350" s="143">
        <v>3</v>
      </c>
      <c r="N350" s="143">
        <v>6</v>
      </c>
      <c r="O350" s="143">
        <v>16</v>
      </c>
      <c r="P350" s="143">
        <v>9</v>
      </c>
      <c r="Q350" s="143">
        <v>6</v>
      </c>
      <c r="R350" s="143">
        <v>0</v>
      </c>
      <c r="S350" s="143">
        <v>1</v>
      </c>
      <c r="T350" s="143">
        <v>2</v>
      </c>
      <c r="U350" s="143">
        <v>0</v>
      </c>
      <c r="V350" s="144">
        <v>0.34782608695652173</v>
      </c>
      <c r="W350" s="144">
        <v>0</v>
      </c>
      <c r="X350" s="144">
        <v>0.5714285714285714</v>
      </c>
      <c r="Y350" s="144">
        <v>0</v>
      </c>
      <c r="Z350" s="145">
        <v>10.8</v>
      </c>
      <c r="AA350" s="98" t="s">
        <v>33</v>
      </c>
    </row>
    <row r="351" spans="1:27" ht="40" customHeight="1" x14ac:dyDescent="0.2">
      <c r="A351" s="96" t="str">
        <f>A350</f>
        <v>MAGIC 1</v>
      </c>
      <c r="B351" s="96">
        <f>B350</f>
        <v>5</v>
      </c>
      <c r="C351" s="96">
        <f>C350</f>
        <v>5</v>
      </c>
      <c r="D351" s="128" t="s">
        <v>48</v>
      </c>
      <c r="E351" s="146">
        <v>3</v>
      </c>
      <c r="F351" s="146">
        <v>6</v>
      </c>
      <c r="G351" s="146">
        <v>5</v>
      </c>
      <c r="H351" s="146">
        <v>13</v>
      </c>
      <c r="I351" s="146">
        <v>8</v>
      </c>
      <c r="J351" s="146">
        <v>19</v>
      </c>
      <c r="K351" s="146">
        <v>0</v>
      </c>
      <c r="L351" s="146">
        <v>0</v>
      </c>
      <c r="M351" s="146">
        <v>2</v>
      </c>
      <c r="N351" s="146">
        <v>3</v>
      </c>
      <c r="O351" s="146">
        <v>21</v>
      </c>
      <c r="P351" s="146">
        <v>5</v>
      </c>
      <c r="Q351" s="146">
        <v>4</v>
      </c>
      <c r="R351" s="146">
        <v>1</v>
      </c>
      <c r="S351" s="146">
        <v>2</v>
      </c>
      <c r="T351" s="146">
        <v>1</v>
      </c>
      <c r="U351" s="146">
        <v>0</v>
      </c>
      <c r="V351" s="147">
        <v>0.42105263157894735</v>
      </c>
      <c r="W351" s="147">
        <v>0</v>
      </c>
      <c r="X351" s="147">
        <v>0.5</v>
      </c>
      <c r="Y351" s="147">
        <v>0.38461538461538464</v>
      </c>
      <c r="Z351" s="148">
        <v>17.899999999999999</v>
      </c>
      <c r="AA351" s="98" t="str">
        <f>AA350</f>
        <v>REG</v>
      </c>
    </row>
    <row r="352" spans="1:27" ht="40" customHeight="1" x14ac:dyDescent="0.2">
      <c r="A352" s="96" t="str">
        <f>A351</f>
        <v>MAGIC 1</v>
      </c>
      <c r="B352" s="96">
        <f t="shared" ref="B352:C354" si="524">B351</f>
        <v>5</v>
      </c>
      <c r="C352" s="96">
        <f t="shared" si="524"/>
        <v>5</v>
      </c>
      <c r="D352" s="128" t="s">
        <v>47</v>
      </c>
      <c r="E352" s="149">
        <v>9</v>
      </c>
      <c r="F352" s="149">
        <v>14</v>
      </c>
      <c r="G352" s="149">
        <v>0</v>
      </c>
      <c r="H352" s="149">
        <v>4</v>
      </c>
      <c r="I352" s="149">
        <v>9</v>
      </c>
      <c r="J352" s="149">
        <v>18</v>
      </c>
      <c r="K352" s="149">
        <v>2</v>
      </c>
      <c r="L352" s="149">
        <v>2</v>
      </c>
      <c r="M352" s="149">
        <v>1</v>
      </c>
      <c r="N352" s="149">
        <v>2</v>
      </c>
      <c r="O352" s="149">
        <v>20</v>
      </c>
      <c r="P352" s="149">
        <v>3</v>
      </c>
      <c r="Q352" s="149">
        <v>3</v>
      </c>
      <c r="R352" s="149">
        <v>0</v>
      </c>
      <c r="S352" s="149">
        <v>5</v>
      </c>
      <c r="T352" s="149">
        <v>4</v>
      </c>
      <c r="U352" s="149">
        <v>2</v>
      </c>
      <c r="V352" s="150">
        <v>0.5</v>
      </c>
      <c r="W352" s="150">
        <v>1</v>
      </c>
      <c r="X352" s="150">
        <v>0.6428571428571429</v>
      </c>
      <c r="Y352" s="150">
        <v>0</v>
      </c>
      <c r="Z352" s="151">
        <v>14.8</v>
      </c>
      <c r="AA352" s="98" t="str">
        <f>AA351</f>
        <v>REG</v>
      </c>
    </row>
    <row r="353" spans="1:27" ht="40" customHeight="1" x14ac:dyDescent="0.2">
      <c r="A353" s="96" t="str">
        <f>A351</f>
        <v>MAGIC 1</v>
      </c>
      <c r="B353" s="96">
        <f t="shared" si="524"/>
        <v>5</v>
      </c>
      <c r="C353" s="96">
        <f>C351</f>
        <v>5</v>
      </c>
      <c r="D353" s="128" t="s">
        <v>93</v>
      </c>
      <c r="E353" s="172">
        <v>1</v>
      </c>
      <c r="F353" s="172">
        <v>3</v>
      </c>
      <c r="G353" s="172">
        <v>0</v>
      </c>
      <c r="H353" s="172">
        <v>4</v>
      </c>
      <c r="I353" s="172">
        <v>1</v>
      </c>
      <c r="J353" s="172">
        <v>7</v>
      </c>
      <c r="K353" s="172">
        <v>1</v>
      </c>
      <c r="L353" s="172">
        <v>2</v>
      </c>
      <c r="M353" s="172">
        <v>0</v>
      </c>
      <c r="N353" s="172">
        <v>5</v>
      </c>
      <c r="O353" s="172">
        <v>3</v>
      </c>
      <c r="P353" s="172">
        <v>5</v>
      </c>
      <c r="Q353" s="172">
        <v>7</v>
      </c>
      <c r="R353" s="172">
        <v>2</v>
      </c>
      <c r="S353" s="172">
        <v>2</v>
      </c>
      <c r="T353" s="172">
        <v>3</v>
      </c>
      <c r="U353" s="172">
        <v>0</v>
      </c>
      <c r="V353" s="173">
        <v>0.14285714285714285</v>
      </c>
      <c r="W353" s="173">
        <v>0.5</v>
      </c>
      <c r="X353" s="173">
        <v>0.33333333333333331</v>
      </c>
      <c r="Y353" s="173">
        <v>0</v>
      </c>
      <c r="Z353" s="174">
        <v>5.9</v>
      </c>
      <c r="AA353" s="98" t="str">
        <f>AA351</f>
        <v>REG</v>
      </c>
    </row>
    <row r="354" spans="1:27" ht="40" customHeight="1" x14ac:dyDescent="0.2">
      <c r="A354" s="96" t="str">
        <f>A352</f>
        <v>MAGIC 1</v>
      </c>
      <c r="B354" s="96">
        <f t="shared" si="524"/>
        <v>5</v>
      </c>
      <c r="C354" s="96">
        <f>C352</f>
        <v>5</v>
      </c>
      <c r="D354" s="128" t="s">
        <v>96</v>
      </c>
      <c r="E354" s="182">
        <v>3</v>
      </c>
      <c r="F354" s="182">
        <v>10</v>
      </c>
      <c r="G354" s="182">
        <v>0</v>
      </c>
      <c r="H354" s="182">
        <v>1</v>
      </c>
      <c r="I354" s="182">
        <v>3</v>
      </c>
      <c r="J354" s="182">
        <v>11</v>
      </c>
      <c r="K354" s="182">
        <v>1</v>
      </c>
      <c r="L354" s="182">
        <v>2</v>
      </c>
      <c r="M354" s="182">
        <v>7</v>
      </c>
      <c r="N354" s="182">
        <v>18</v>
      </c>
      <c r="O354" s="182">
        <v>7</v>
      </c>
      <c r="P354" s="182">
        <v>25</v>
      </c>
      <c r="Q354" s="182">
        <v>1</v>
      </c>
      <c r="R354" s="182">
        <v>0</v>
      </c>
      <c r="S354" s="182">
        <v>1</v>
      </c>
      <c r="T354" s="182">
        <v>3</v>
      </c>
      <c r="U354" s="182">
        <v>1</v>
      </c>
      <c r="V354" s="183">
        <v>0.27272727272727271</v>
      </c>
      <c r="W354" s="183">
        <v>0.5</v>
      </c>
      <c r="X354" s="183">
        <v>0.3</v>
      </c>
      <c r="Y354" s="183">
        <v>0</v>
      </c>
      <c r="Z354" s="184">
        <v>10.899999999999999</v>
      </c>
      <c r="AA354" s="98" t="str">
        <f>AA352</f>
        <v>REG</v>
      </c>
    </row>
    <row r="355" spans="1:27" ht="40" customHeight="1" x14ac:dyDescent="0.2">
      <c r="A355" s="96" t="str">
        <f>A354</f>
        <v>MAGIC 1</v>
      </c>
      <c r="B355" s="96">
        <f t="shared" ref="B355:C356" si="525">B354</f>
        <v>5</v>
      </c>
      <c r="C355" s="96">
        <f t="shared" si="525"/>
        <v>5</v>
      </c>
      <c r="D355" s="128" t="s">
        <v>31</v>
      </c>
      <c r="E355" s="169">
        <v>24</v>
      </c>
      <c r="F355" s="169">
        <v>47</v>
      </c>
      <c r="G355" s="169">
        <v>5</v>
      </c>
      <c r="H355" s="169">
        <v>31</v>
      </c>
      <c r="I355" s="169">
        <v>29</v>
      </c>
      <c r="J355" s="169">
        <v>78</v>
      </c>
      <c r="K355" s="169">
        <v>4</v>
      </c>
      <c r="L355" s="169">
        <v>6</v>
      </c>
      <c r="M355" s="169">
        <f>SUM(M350:M354)</f>
        <v>13</v>
      </c>
      <c r="N355" s="169">
        <f>SUM(N350:N354)</f>
        <v>34</v>
      </c>
      <c r="O355" s="169">
        <v>67</v>
      </c>
      <c r="P355" s="169">
        <v>47</v>
      </c>
      <c r="Q355" s="169">
        <v>21</v>
      </c>
      <c r="R355" s="169">
        <v>3</v>
      </c>
      <c r="S355" s="169">
        <v>11</v>
      </c>
      <c r="T355" s="169">
        <v>13</v>
      </c>
      <c r="U355" s="169">
        <v>3</v>
      </c>
      <c r="V355" s="185">
        <v>0.37179487179487181</v>
      </c>
      <c r="W355" s="185">
        <v>0.66666666666666663</v>
      </c>
      <c r="X355" s="185">
        <v>0.51063829787234039</v>
      </c>
      <c r="Y355" s="185">
        <v>0.16129032258064516</v>
      </c>
      <c r="Z355" s="186">
        <v>12.059999999999999</v>
      </c>
      <c r="AA355" s="96" t="str">
        <f t="shared" ref="AA355" si="526">AA354</f>
        <v>REG</v>
      </c>
    </row>
    <row r="356" spans="1:27" ht="40" customHeight="1" x14ac:dyDescent="0.2">
      <c r="A356" s="96" t="s">
        <v>38</v>
      </c>
      <c r="B356" s="96">
        <f t="shared" si="525"/>
        <v>5</v>
      </c>
      <c r="C356" s="96">
        <f>C355</f>
        <v>5</v>
      </c>
      <c r="D356" s="163" t="s">
        <v>35</v>
      </c>
      <c r="E356" s="163"/>
      <c r="F356" s="163"/>
      <c r="G356" s="163"/>
      <c r="H356" s="165"/>
      <c r="I356" s="163"/>
      <c r="J356" s="163"/>
      <c r="K356" s="163"/>
      <c r="L356" s="163"/>
      <c r="O356" s="163">
        <v>48</v>
      </c>
      <c r="P356" s="163"/>
      <c r="Q356" s="163"/>
      <c r="R356" s="163"/>
      <c r="S356" s="163"/>
      <c r="T356" s="163"/>
      <c r="U356" s="163"/>
      <c r="V356" s="163"/>
      <c r="W356" s="163"/>
      <c r="X356" s="163"/>
      <c r="Y356" s="163"/>
      <c r="Z356" s="163"/>
      <c r="AA356" s="98" t="str">
        <f>AA355</f>
        <v>REG</v>
      </c>
    </row>
    <row r="357" spans="1:27" ht="40" customHeight="1" x14ac:dyDescent="0.2">
      <c r="A357" s="96" t="str">
        <f>D363</f>
        <v>MAGIC 2</v>
      </c>
      <c r="B357" s="96">
        <v>5</v>
      </c>
      <c r="C357" s="96">
        <f>C350+1</f>
        <v>6</v>
      </c>
      <c r="D357" s="128" t="s">
        <v>40</v>
      </c>
      <c r="E357" s="143">
        <v>6</v>
      </c>
      <c r="F357" s="143">
        <v>16</v>
      </c>
      <c r="G357" s="143">
        <v>1</v>
      </c>
      <c r="H357" s="143">
        <v>8</v>
      </c>
      <c r="I357" s="143">
        <v>7</v>
      </c>
      <c r="J357" s="143">
        <v>24</v>
      </c>
      <c r="K357" s="143">
        <v>0</v>
      </c>
      <c r="L357" s="143">
        <v>4</v>
      </c>
      <c r="M357" s="143">
        <v>2</v>
      </c>
      <c r="N357" s="143">
        <v>7</v>
      </c>
      <c r="O357" s="143">
        <v>15</v>
      </c>
      <c r="P357" s="143">
        <v>9</v>
      </c>
      <c r="Q357" s="143">
        <v>3</v>
      </c>
      <c r="R357" s="143">
        <v>0</v>
      </c>
      <c r="S357" s="143">
        <v>2</v>
      </c>
      <c r="T357" s="143">
        <v>2</v>
      </c>
      <c r="U357" s="143">
        <v>1</v>
      </c>
      <c r="V357" s="144">
        <v>0.33333333333333331</v>
      </c>
      <c r="W357" s="144">
        <v>0.5</v>
      </c>
      <c r="X357" s="144">
        <v>0.5</v>
      </c>
      <c r="Y357" s="144">
        <v>0</v>
      </c>
      <c r="Z357" s="145">
        <v>8.9</v>
      </c>
      <c r="AA357" s="98" t="s">
        <v>33</v>
      </c>
    </row>
    <row r="358" spans="1:27" ht="40" customHeight="1" x14ac:dyDescent="0.2">
      <c r="A358" s="96" t="str">
        <f>A357</f>
        <v>MAGIC 2</v>
      </c>
      <c r="B358" s="96">
        <f>B357</f>
        <v>5</v>
      </c>
      <c r="C358" s="96">
        <f>C357</f>
        <v>6</v>
      </c>
      <c r="D358" s="128" t="s">
        <v>48</v>
      </c>
      <c r="E358" s="146">
        <v>4</v>
      </c>
      <c r="F358" s="146">
        <v>9</v>
      </c>
      <c r="G358" s="146">
        <v>0</v>
      </c>
      <c r="H358" s="146">
        <v>4</v>
      </c>
      <c r="I358" s="146">
        <v>4</v>
      </c>
      <c r="J358" s="146">
        <v>13</v>
      </c>
      <c r="K358" s="146">
        <v>0</v>
      </c>
      <c r="L358" s="146">
        <v>0</v>
      </c>
      <c r="M358" s="146">
        <v>1</v>
      </c>
      <c r="N358" s="146">
        <v>4</v>
      </c>
      <c r="O358" s="146">
        <v>10</v>
      </c>
      <c r="P358" s="146">
        <v>5</v>
      </c>
      <c r="Q358" s="146">
        <v>2</v>
      </c>
      <c r="R358" s="146">
        <v>0</v>
      </c>
      <c r="S358" s="146">
        <v>3</v>
      </c>
      <c r="T358" s="146">
        <v>1</v>
      </c>
      <c r="U358" s="146">
        <v>4</v>
      </c>
      <c r="V358" s="147">
        <v>0.38461538461538464</v>
      </c>
      <c r="W358" s="147">
        <v>0</v>
      </c>
      <c r="X358" s="147">
        <v>0.5</v>
      </c>
      <c r="Y358" s="147">
        <v>0</v>
      </c>
      <c r="Z358" s="148">
        <v>7.2000000000000011</v>
      </c>
      <c r="AA358" s="98" t="str">
        <f>AA357</f>
        <v>REG</v>
      </c>
    </row>
    <row r="359" spans="1:27" ht="40" customHeight="1" x14ac:dyDescent="0.2">
      <c r="A359" s="96" t="str">
        <f>A358</f>
        <v>MAGIC 2</v>
      </c>
      <c r="B359" s="96">
        <f t="shared" ref="B359:C359" si="527">B358</f>
        <v>5</v>
      </c>
      <c r="C359" s="96">
        <f t="shared" si="527"/>
        <v>6</v>
      </c>
      <c r="D359" s="128" t="s">
        <v>47</v>
      </c>
      <c r="E359" s="149">
        <v>2</v>
      </c>
      <c r="F359" s="149">
        <v>6</v>
      </c>
      <c r="G359" s="149">
        <v>0</v>
      </c>
      <c r="H359" s="149">
        <v>2</v>
      </c>
      <c r="I359" s="149">
        <v>2</v>
      </c>
      <c r="J359" s="149">
        <v>8</v>
      </c>
      <c r="K359" s="149">
        <v>4</v>
      </c>
      <c r="L359" s="149">
        <v>6</v>
      </c>
      <c r="M359" s="149">
        <v>0</v>
      </c>
      <c r="N359" s="149">
        <v>2</v>
      </c>
      <c r="O359" s="149">
        <v>8</v>
      </c>
      <c r="P359" s="149">
        <v>2</v>
      </c>
      <c r="Q359" s="149">
        <v>2</v>
      </c>
      <c r="R359" s="149">
        <v>0</v>
      </c>
      <c r="S359" s="149">
        <v>2</v>
      </c>
      <c r="T359" s="149">
        <v>1</v>
      </c>
      <c r="U359" s="149">
        <v>2</v>
      </c>
      <c r="V359" s="150">
        <v>0.3</v>
      </c>
      <c r="W359" s="150">
        <v>0.5</v>
      </c>
      <c r="X359" s="150">
        <v>0.375</v>
      </c>
      <c r="Y359" s="150">
        <v>0</v>
      </c>
      <c r="Z359" s="151">
        <v>3.9999999999999991</v>
      </c>
      <c r="AA359" s="98" t="str">
        <f>AA358</f>
        <v>REG</v>
      </c>
    </row>
    <row r="360" spans="1:27" ht="40" customHeight="1" x14ac:dyDescent="0.2">
      <c r="A360" s="96" t="str">
        <f>A358</f>
        <v>MAGIC 2</v>
      </c>
      <c r="B360" s="96">
        <f t="shared" ref="B360:B361" si="528">B359</f>
        <v>5</v>
      </c>
      <c r="C360" s="96">
        <f>C358</f>
        <v>6</v>
      </c>
      <c r="D360" s="128" t="s">
        <v>93</v>
      </c>
      <c r="E360" s="172">
        <v>1</v>
      </c>
      <c r="F360" s="172">
        <v>5</v>
      </c>
      <c r="G360" s="172">
        <v>0</v>
      </c>
      <c r="H360" s="172">
        <v>1</v>
      </c>
      <c r="I360" s="172">
        <v>1</v>
      </c>
      <c r="J360" s="172">
        <v>6</v>
      </c>
      <c r="K360" s="172">
        <v>2</v>
      </c>
      <c r="L360" s="172">
        <v>2</v>
      </c>
      <c r="M360" s="172">
        <v>1</v>
      </c>
      <c r="N360" s="172">
        <v>4</v>
      </c>
      <c r="O360" s="172">
        <v>6</v>
      </c>
      <c r="P360" s="172">
        <v>5</v>
      </c>
      <c r="Q360" s="172">
        <v>4</v>
      </c>
      <c r="R360" s="172">
        <v>1</v>
      </c>
      <c r="S360" s="172">
        <v>3</v>
      </c>
      <c r="T360" s="172">
        <v>4</v>
      </c>
      <c r="U360" s="172">
        <v>3</v>
      </c>
      <c r="V360" s="173">
        <v>0.33333333333333331</v>
      </c>
      <c r="W360" s="173">
        <v>0</v>
      </c>
      <c r="X360" s="173">
        <v>0.375</v>
      </c>
      <c r="Y360" s="173">
        <v>0</v>
      </c>
      <c r="Z360" s="174">
        <v>4.6999999999999993</v>
      </c>
      <c r="AA360" s="98" t="str">
        <f>AA358</f>
        <v>REG</v>
      </c>
    </row>
    <row r="361" spans="1:27" ht="40" customHeight="1" x14ac:dyDescent="0.2">
      <c r="A361" s="96" t="str">
        <f>A359</f>
        <v>MAGIC 2</v>
      </c>
      <c r="B361" s="96">
        <f t="shared" si="528"/>
        <v>5</v>
      </c>
      <c r="C361" s="96">
        <f>C359</f>
        <v>6</v>
      </c>
      <c r="D361" s="128" t="s">
        <v>96</v>
      </c>
      <c r="E361" s="182">
        <v>7</v>
      </c>
      <c r="F361" s="182">
        <v>8</v>
      </c>
      <c r="G361" s="182">
        <v>0</v>
      </c>
      <c r="H361" s="182">
        <v>0</v>
      </c>
      <c r="I361" s="182">
        <v>7</v>
      </c>
      <c r="J361" s="182">
        <v>8</v>
      </c>
      <c r="K361" s="182">
        <v>0</v>
      </c>
      <c r="L361" s="182">
        <v>1</v>
      </c>
      <c r="M361" s="182">
        <v>1</v>
      </c>
      <c r="N361" s="182">
        <v>11</v>
      </c>
      <c r="O361" s="182">
        <v>4</v>
      </c>
      <c r="P361" s="182">
        <v>12</v>
      </c>
      <c r="Q361" s="182">
        <v>1</v>
      </c>
      <c r="R361" s="182">
        <v>0</v>
      </c>
      <c r="S361" s="182">
        <v>0</v>
      </c>
      <c r="T361" s="182">
        <v>6</v>
      </c>
      <c r="U361" s="182">
        <v>1</v>
      </c>
      <c r="V361" s="183">
        <v>0.18181818181818182</v>
      </c>
      <c r="W361" s="183">
        <v>0</v>
      </c>
      <c r="X361" s="183">
        <v>0.2</v>
      </c>
      <c r="Y361" s="183">
        <v>0</v>
      </c>
      <c r="Z361" s="184">
        <v>-2.9999999999999996</v>
      </c>
      <c r="AA361" s="98" t="str">
        <f>AA359</f>
        <v>REG</v>
      </c>
    </row>
    <row r="362" spans="1:27" ht="40" customHeight="1" x14ac:dyDescent="0.2">
      <c r="A362" s="96" t="str">
        <f>A361</f>
        <v>MAGIC 2</v>
      </c>
      <c r="B362" s="96">
        <f t="shared" ref="B362:C362" si="529">B361</f>
        <v>5</v>
      </c>
      <c r="C362" s="96">
        <f t="shared" si="529"/>
        <v>6</v>
      </c>
      <c r="D362" s="128" t="s">
        <v>31</v>
      </c>
      <c r="E362" s="169">
        <v>20</v>
      </c>
      <c r="F362" s="169">
        <v>44</v>
      </c>
      <c r="G362" s="169">
        <v>1</v>
      </c>
      <c r="H362" s="169">
        <v>15</v>
      </c>
      <c r="I362" s="169">
        <v>21</v>
      </c>
      <c r="J362" s="169">
        <v>59</v>
      </c>
      <c r="K362" s="169">
        <v>6</v>
      </c>
      <c r="L362" s="169">
        <v>13</v>
      </c>
      <c r="M362" s="169">
        <f>SUM(M357:M361)</f>
        <v>5</v>
      </c>
      <c r="N362" s="169">
        <f>SUM(N357:N361)</f>
        <v>28</v>
      </c>
      <c r="O362" s="169">
        <v>46</v>
      </c>
      <c r="P362" s="169">
        <v>36</v>
      </c>
      <c r="Q362" s="169">
        <v>13</v>
      </c>
      <c r="R362" s="169">
        <v>2</v>
      </c>
      <c r="S362" s="169">
        <v>11</v>
      </c>
      <c r="T362" s="169">
        <v>14</v>
      </c>
      <c r="U362" s="169">
        <v>14</v>
      </c>
      <c r="V362" s="185">
        <v>0.32307692307692309</v>
      </c>
      <c r="W362" s="185">
        <v>0.44444444444444442</v>
      </c>
      <c r="X362" s="185">
        <v>0.41176470588235292</v>
      </c>
      <c r="Y362" s="185">
        <v>0</v>
      </c>
      <c r="Z362" s="186">
        <v>4.4666666666666668</v>
      </c>
      <c r="AA362" s="96" t="str">
        <f t="shared" ref="AA362" si="530">AA361</f>
        <v>REG</v>
      </c>
    </row>
    <row r="363" spans="1:27" ht="40" customHeight="1" x14ac:dyDescent="0.2">
      <c r="A363" s="96" t="s">
        <v>38</v>
      </c>
      <c r="B363" s="96">
        <f t="shared" ref="B363" si="531">B362</f>
        <v>5</v>
      </c>
      <c r="C363" s="96">
        <f>C362</f>
        <v>6</v>
      </c>
      <c r="D363" s="163" t="s">
        <v>22</v>
      </c>
      <c r="E363" s="163"/>
      <c r="F363" s="163"/>
      <c r="G363" s="163"/>
      <c r="H363" s="165"/>
      <c r="I363" s="163"/>
      <c r="J363" s="163"/>
      <c r="K363" s="163"/>
      <c r="L363" s="163"/>
      <c r="O363" s="163">
        <v>47</v>
      </c>
      <c r="P363" s="163"/>
      <c r="Q363" s="163"/>
      <c r="R363" s="163"/>
      <c r="S363" s="163"/>
      <c r="T363" s="163"/>
      <c r="U363" s="163"/>
      <c r="V363" s="163"/>
      <c r="W363" s="163"/>
      <c r="X363" s="163"/>
      <c r="Y363" s="163"/>
      <c r="Z363" s="163"/>
      <c r="AA363" s="98" t="str">
        <f>AA362</f>
        <v>REG</v>
      </c>
    </row>
    <row r="364" spans="1:27" ht="40" customHeight="1" x14ac:dyDescent="0.2">
      <c r="A364" s="96" t="str">
        <f>D370</f>
        <v>PANTHERS 2</v>
      </c>
      <c r="B364" s="96">
        <v>5</v>
      </c>
      <c r="C364" s="96">
        <f>C357+1</f>
        <v>7</v>
      </c>
      <c r="D364" s="128" t="s">
        <v>40</v>
      </c>
      <c r="E364" s="143">
        <v>5</v>
      </c>
      <c r="F364" s="143">
        <v>9</v>
      </c>
      <c r="G364" s="143">
        <v>0</v>
      </c>
      <c r="H364" s="143">
        <v>5</v>
      </c>
      <c r="I364" s="143">
        <v>5</v>
      </c>
      <c r="J364" s="143">
        <v>14</v>
      </c>
      <c r="K364" s="143">
        <v>2</v>
      </c>
      <c r="L364" s="143">
        <v>4</v>
      </c>
      <c r="M364" s="143">
        <v>2</v>
      </c>
      <c r="N364" s="143">
        <v>2</v>
      </c>
      <c r="O364" s="143">
        <v>12</v>
      </c>
      <c r="P364" s="143">
        <v>4</v>
      </c>
      <c r="Q364" s="143">
        <v>0</v>
      </c>
      <c r="R364" s="143">
        <v>0</v>
      </c>
      <c r="S364" s="143">
        <v>0</v>
      </c>
      <c r="T364" s="143">
        <v>1</v>
      </c>
      <c r="U364" s="143">
        <v>3</v>
      </c>
      <c r="V364" s="144">
        <v>0.35714285714285715</v>
      </c>
      <c r="W364" s="144">
        <v>0.5</v>
      </c>
      <c r="X364" s="144">
        <v>0.55555555555555558</v>
      </c>
      <c r="Y364" s="144">
        <v>0</v>
      </c>
      <c r="Z364" s="145">
        <v>3.2000000000000011</v>
      </c>
      <c r="AA364" s="98" t="s">
        <v>33</v>
      </c>
    </row>
    <row r="365" spans="1:27" ht="40" customHeight="1" x14ac:dyDescent="0.2">
      <c r="A365" s="96" t="str">
        <f>A364</f>
        <v>PANTHERS 2</v>
      </c>
      <c r="B365" s="96">
        <f>B364</f>
        <v>5</v>
      </c>
      <c r="C365" s="96">
        <f>C364</f>
        <v>7</v>
      </c>
      <c r="D365" s="128" t="s">
        <v>48</v>
      </c>
      <c r="E365" s="146">
        <v>4</v>
      </c>
      <c r="F365" s="146">
        <v>8</v>
      </c>
      <c r="G365" s="146">
        <v>1</v>
      </c>
      <c r="H365" s="146">
        <v>5</v>
      </c>
      <c r="I365" s="146">
        <v>5</v>
      </c>
      <c r="J365" s="146">
        <v>13</v>
      </c>
      <c r="K365" s="146">
        <v>0</v>
      </c>
      <c r="L365" s="146">
        <v>2</v>
      </c>
      <c r="M365" s="146">
        <v>0</v>
      </c>
      <c r="N365" s="146">
        <v>3</v>
      </c>
      <c r="O365" s="146">
        <v>11</v>
      </c>
      <c r="P365" s="146">
        <v>3</v>
      </c>
      <c r="Q365" s="146">
        <v>0</v>
      </c>
      <c r="R365" s="146">
        <v>0</v>
      </c>
      <c r="S365" s="146">
        <v>0</v>
      </c>
      <c r="T365" s="146">
        <v>2</v>
      </c>
      <c r="U365" s="146">
        <v>2</v>
      </c>
      <c r="V365" s="147">
        <v>0.38461538461538464</v>
      </c>
      <c r="W365" s="147">
        <v>0</v>
      </c>
      <c r="X365" s="147">
        <v>0.5</v>
      </c>
      <c r="Y365" s="147">
        <v>0.2</v>
      </c>
      <c r="Z365" s="148">
        <v>1.8000000000000007</v>
      </c>
      <c r="AA365" s="98" t="str">
        <f>AA364</f>
        <v>REG</v>
      </c>
    </row>
    <row r="366" spans="1:27" ht="40" customHeight="1" x14ac:dyDescent="0.2">
      <c r="A366" s="96" t="str">
        <f>A365</f>
        <v>PANTHERS 2</v>
      </c>
      <c r="B366" s="96">
        <f t="shared" ref="B366:C366" si="532">B365</f>
        <v>5</v>
      </c>
      <c r="C366" s="96">
        <f t="shared" si="532"/>
        <v>7</v>
      </c>
      <c r="D366" s="128" t="s">
        <v>47</v>
      </c>
      <c r="E366" s="149">
        <v>0</v>
      </c>
      <c r="F366" s="149">
        <v>0</v>
      </c>
      <c r="G366" s="149">
        <v>3</v>
      </c>
      <c r="H366" s="149">
        <v>6</v>
      </c>
      <c r="I366" s="149">
        <v>3</v>
      </c>
      <c r="J366" s="149">
        <v>6</v>
      </c>
      <c r="K366" s="149">
        <v>0</v>
      </c>
      <c r="L366" s="149">
        <v>2</v>
      </c>
      <c r="M366" s="149">
        <v>0</v>
      </c>
      <c r="N366" s="149">
        <v>3</v>
      </c>
      <c r="O366" s="149">
        <v>9</v>
      </c>
      <c r="P366" s="149">
        <v>3</v>
      </c>
      <c r="Q366" s="149">
        <v>3</v>
      </c>
      <c r="R366" s="149">
        <v>0</v>
      </c>
      <c r="S366" s="149">
        <v>0</v>
      </c>
      <c r="T366" s="149">
        <v>0</v>
      </c>
      <c r="U366" s="149">
        <v>3</v>
      </c>
      <c r="V366" s="150">
        <v>0.5</v>
      </c>
      <c r="W366" s="150">
        <v>0</v>
      </c>
      <c r="X366" s="150">
        <v>0</v>
      </c>
      <c r="Y366" s="150">
        <v>0.5</v>
      </c>
      <c r="Z366" s="151">
        <v>7.6000000000000005</v>
      </c>
      <c r="AA366" s="98" t="str">
        <f>AA365</f>
        <v>REG</v>
      </c>
    </row>
    <row r="367" spans="1:27" ht="40" customHeight="1" x14ac:dyDescent="0.2">
      <c r="A367" s="96" t="str">
        <f>A365</f>
        <v>PANTHERS 2</v>
      </c>
      <c r="B367" s="96">
        <f t="shared" ref="B367:B369" si="533">B366</f>
        <v>5</v>
      </c>
      <c r="C367" s="96">
        <f>C365</f>
        <v>7</v>
      </c>
      <c r="D367" s="128" t="s">
        <v>93</v>
      </c>
      <c r="E367" s="172">
        <v>1</v>
      </c>
      <c r="F367" s="172">
        <v>5</v>
      </c>
      <c r="G367" s="172">
        <v>0</v>
      </c>
      <c r="H367" s="172">
        <v>4</v>
      </c>
      <c r="I367" s="172">
        <v>1</v>
      </c>
      <c r="J367" s="172">
        <v>9</v>
      </c>
      <c r="K367" s="172">
        <v>0</v>
      </c>
      <c r="L367" s="172">
        <v>0</v>
      </c>
      <c r="M367" s="172">
        <v>1</v>
      </c>
      <c r="N367" s="172">
        <v>2</v>
      </c>
      <c r="O367" s="172">
        <v>2</v>
      </c>
      <c r="P367" s="172">
        <v>3</v>
      </c>
      <c r="Q367" s="172">
        <v>3</v>
      </c>
      <c r="R367" s="172">
        <v>0</v>
      </c>
      <c r="S367" s="172">
        <v>0</v>
      </c>
      <c r="T367" s="172">
        <v>3</v>
      </c>
      <c r="U367" s="172">
        <v>5</v>
      </c>
      <c r="V367" s="173">
        <v>0.1111111111111111</v>
      </c>
      <c r="W367" s="173">
        <v>0</v>
      </c>
      <c r="X367" s="173">
        <v>0.2</v>
      </c>
      <c r="Y367" s="173">
        <v>0</v>
      </c>
      <c r="Z367" s="174">
        <v>-5.3000000000000007</v>
      </c>
      <c r="AA367" s="98" t="str">
        <f>AA365</f>
        <v>REG</v>
      </c>
    </row>
    <row r="368" spans="1:27" ht="40" customHeight="1" x14ac:dyDescent="0.2">
      <c r="A368" s="96" t="str">
        <f>A366</f>
        <v>PANTHERS 2</v>
      </c>
      <c r="B368" s="96">
        <f t="shared" si="533"/>
        <v>5</v>
      </c>
      <c r="C368" s="96">
        <f>C366</f>
        <v>7</v>
      </c>
      <c r="D368" s="128" t="s">
        <v>95</v>
      </c>
      <c r="E368" s="179">
        <v>1</v>
      </c>
      <c r="F368" s="179">
        <v>1</v>
      </c>
      <c r="G368" s="179">
        <v>0</v>
      </c>
      <c r="H368" s="179">
        <v>3</v>
      </c>
      <c r="I368" s="179">
        <v>1</v>
      </c>
      <c r="J368" s="179">
        <v>4</v>
      </c>
      <c r="K368" s="179">
        <v>1</v>
      </c>
      <c r="L368" s="179">
        <v>2</v>
      </c>
      <c r="M368" s="179">
        <v>2</v>
      </c>
      <c r="N368" s="179">
        <v>5</v>
      </c>
      <c r="O368" s="179">
        <v>3</v>
      </c>
      <c r="P368" s="179">
        <v>7</v>
      </c>
      <c r="Q368" s="179">
        <v>1</v>
      </c>
      <c r="R368" s="179">
        <v>1</v>
      </c>
      <c r="S368" s="179">
        <v>0</v>
      </c>
      <c r="T368" s="179">
        <v>2</v>
      </c>
      <c r="U368" s="179">
        <v>2</v>
      </c>
      <c r="V368" s="180">
        <v>0.25</v>
      </c>
      <c r="W368" s="180">
        <v>0.5</v>
      </c>
      <c r="X368" s="180">
        <v>1</v>
      </c>
      <c r="Y368" s="180">
        <v>0</v>
      </c>
      <c r="Z368" s="181">
        <v>2.3000000000000007</v>
      </c>
      <c r="AA368" s="98" t="str">
        <f>AA367</f>
        <v>REG</v>
      </c>
    </row>
    <row r="369" spans="1:27" ht="40" customHeight="1" x14ac:dyDescent="0.2">
      <c r="A369" s="96" t="str">
        <f>A367</f>
        <v>PANTHERS 2</v>
      </c>
      <c r="B369" s="96">
        <f t="shared" si="533"/>
        <v>5</v>
      </c>
      <c r="C369" s="96">
        <f>C367</f>
        <v>7</v>
      </c>
      <c r="D369" s="128" t="s">
        <v>31</v>
      </c>
      <c r="E369" s="169">
        <v>11</v>
      </c>
      <c r="F369" s="169">
        <v>23</v>
      </c>
      <c r="G369" s="169">
        <v>4</v>
      </c>
      <c r="H369" s="169">
        <v>23</v>
      </c>
      <c r="I369" s="169">
        <v>15</v>
      </c>
      <c r="J369" s="169">
        <v>46</v>
      </c>
      <c r="K369" s="169">
        <v>3</v>
      </c>
      <c r="L369" s="169">
        <v>10</v>
      </c>
      <c r="M369" s="169">
        <f>SUM(M364:M368)</f>
        <v>5</v>
      </c>
      <c r="N369" s="169">
        <f>SUM(N364:N368)</f>
        <v>15</v>
      </c>
      <c r="O369" s="169">
        <v>37</v>
      </c>
      <c r="P369" s="169">
        <v>20</v>
      </c>
      <c r="Q369" s="169">
        <v>7</v>
      </c>
      <c r="R369" s="169">
        <v>1</v>
      </c>
      <c r="S369" s="169">
        <v>0</v>
      </c>
      <c r="T369" s="169">
        <v>8</v>
      </c>
      <c r="U369" s="169">
        <v>15</v>
      </c>
      <c r="V369" s="185">
        <v>0.32608695652173914</v>
      </c>
      <c r="W369" s="185">
        <v>0.3</v>
      </c>
      <c r="X369" s="185">
        <v>0.47826086956521741</v>
      </c>
      <c r="Y369" s="185">
        <v>0.17391304347826086</v>
      </c>
      <c r="Z369" s="186">
        <v>1.9200000000000004</v>
      </c>
      <c r="AA369" s="100" t="str">
        <f>AA368</f>
        <v>REG</v>
      </c>
    </row>
    <row r="370" spans="1:27" ht="40" customHeight="1" x14ac:dyDescent="0.2">
      <c r="A370" s="96" t="s">
        <v>38</v>
      </c>
      <c r="B370" s="96">
        <f t="shared" ref="B370" si="534">B369</f>
        <v>5</v>
      </c>
      <c r="C370" s="96">
        <f>C369</f>
        <v>7</v>
      </c>
      <c r="D370" s="163" t="s">
        <v>39</v>
      </c>
      <c r="E370" s="163"/>
      <c r="F370" s="163"/>
      <c r="G370" s="163"/>
      <c r="H370" s="164"/>
      <c r="I370" s="163"/>
      <c r="J370" s="163"/>
      <c r="K370" s="163"/>
      <c r="L370" s="163"/>
      <c r="O370" s="163">
        <v>67</v>
      </c>
      <c r="P370" s="163"/>
      <c r="Q370" s="163"/>
      <c r="R370" s="163"/>
      <c r="S370" s="163"/>
      <c r="T370" s="163"/>
      <c r="U370" s="163"/>
      <c r="V370" s="163"/>
      <c r="W370" s="163"/>
      <c r="X370" s="163"/>
      <c r="Y370" s="163"/>
      <c r="Z370" s="163"/>
      <c r="AA370" s="98" t="str">
        <f>AA369</f>
        <v>REG</v>
      </c>
    </row>
    <row r="371" spans="1:27" ht="40" customHeight="1" x14ac:dyDescent="0.2">
      <c r="A371" s="96" t="str">
        <f>D378</f>
        <v>SAINTS</v>
      </c>
      <c r="B371" s="96">
        <v>5</v>
      </c>
      <c r="C371" s="96">
        <f>C364+1</f>
        <v>8</v>
      </c>
      <c r="D371" s="128" t="s">
        <v>40</v>
      </c>
      <c r="E371" s="143">
        <v>3</v>
      </c>
      <c r="F371" s="143">
        <v>12</v>
      </c>
      <c r="G371" s="143">
        <v>1</v>
      </c>
      <c r="H371" s="143">
        <v>8</v>
      </c>
      <c r="I371" s="143">
        <v>4</v>
      </c>
      <c r="J371" s="143">
        <v>20</v>
      </c>
      <c r="K371" s="143">
        <v>0</v>
      </c>
      <c r="L371" s="143">
        <v>2</v>
      </c>
      <c r="M371" s="143">
        <v>0</v>
      </c>
      <c r="N371" s="143">
        <v>5</v>
      </c>
      <c r="O371" s="188">
        <v>9</v>
      </c>
      <c r="P371" s="189">
        <v>5</v>
      </c>
      <c r="Q371" s="189">
        <v>3</v>
      </c>
      <c r="R371" s="189">
        <v>0</v>
      </c>
      <c r="S371" s="189">
        <v>0</v>
      </c>
      <c r="T371" s="189">
        <v>3</v>
      </c>
      <c r="U371" s="189">
        <v>0</v>
      </c>
      <c r="V371" s="190">
        <v>0.2</v>
      </c>
      <c r="W371" s="190">
        <v>0</v>
      </c>
      <c r="X371" s="190">
        <v>0.25</v>
      </c>
      <c r="Y371" s="190">
        <v>0.125</v>
      </c>
      <c r="Z371" s="191">
        <v>-2.6</v>
      </c>
      <c r="AA371" s="98" t="s">
        <v>33</v>
      </c>
    </row>
    <row r="372" spans="1:27" ht="40" customHeight="1" x14ac:dyDescent="0.2">
      <c r="A372" s="96" t="str">
        <f>A371</f>
        <v>SAINTS</v>
      </c>
      <c r="B372" s="96">
        <f>B371</f>
        <v>5</v>
      </c>
      <c r="C372" s="96">
        <f>C371</f>
        <v>8</v>
      </c>
      <c r="D372" s="128" t="s">
        <v>48</v>
      </c>
      <c r="E372" s="146">
        <v>2</v>
      </c>
      <c r="F372" s="146">
        <v>5</v>
      </c>
      <c r="G372" s="146">
        <v>5</v>
      </c>
      <c r="H372" s="146">
        <v>8</v>
      </c>
      <c r="I372" s="146">
        <v>7</v>
      </c>
      <c r="J372" s="146">
        <v>13</v>
      </c>
      <c r="K372" s="146">
        <v>2</v>
      </c>
      <c r="L372" s="146">
        <v>2</v>
      </c>
      <c r="M372" s="146">
        <v>0</v>
      </c>
      <c r="N372" s="146">
        <v>3</v>
      </c>
      <c r="O372" s="192">
        <v>21</v>
      </c>
      <c r="P372" s="193">
        <v>3</v>
      </c>
      <c r="Q372" s="193">
        <v>3</v>
      </c>
      <c r="R372" s="193">
        <v>0</v>
      </c>
      <c r="S372" s="193">
        <v>4</v>
      </c>
      <c r="T372" s="193">
        <v>0</v>
      </c>
      <c r="U372" s="193">
        <v>2</v>
      </c>
      <c r="V372" s="194">
        <v>0.53849999999999998</v>
      </c>
      <c r="W372" s="194">
        <v>1</v>
      </c>
      <c r="X372" s="194">
        <v>0.4</v>
      </c>
      <c r="Y372" s="194">
        <v>0.625</v>
      </c>
      <c r="Z372" s="195">
        <v>21.5</v>
      </c>
      <c r="AA372" s="98" t="str">
        <f>AA371</f>
        <v>REG</v>
      </c>
    </row>
    <row r="373" spans="1:27" ht="40" customHeight="1" x14ac:dyDescent="0.2">
      <c r="A373" s="96" t="str">
        <f>A372</f>
        <v>SAINTS</v>
      </c>
      <c r="B373" s="96">
        <f t="shared" ref="B373:C373" si="535">B372</f>
        <v>5</v>
      </c>
      <c r="C373" s="96">
        <f t="shared" si="535"/>
        <v>8</v>
      </c>
      <c r="D373" s="128" t="s">
        <v>47</v>
      </c>
      <c r="E373" s="149">
        <v>2</v>
      </c>
      <c r="F373" s="149">
        <v>2</v>
      </c>
      <c r="G373" s="149">
        <v>1</v>
      </c>
      <c r="H373" s="149">
        <v>6</v>
      </c>
      <c r="I373" s="149">
        <v>3</v>
      </c>
      <c r="J373" s="149">
        <v>8</v>
      </c>
      <c r="K373" s="149">
        <v>0</v>
      </c>
      <c r="L373" s="149">
        <v>0</v>
      </c>
      <c r="M373" s="149">
        <v>1</v>
      </c>
      <c r="N373" s="149">
        <v>2</v>
      </c>
      <c r="O373" s="196">
        <v>7</v>
      </c>
      <c r="P373" s="197">
        <v>3</v>
      </c>
      <c r="Q373" s="197">
        <v>1</v>
      </c>
      <c r="R373" s="197">
        <v>0</v>
      </c>
      <c r="S373" s="197">
        <v>0</v>
      </c>
      <c r="T373" s="197">
        <v>4</v>
      </c>
      <c r="U373" s="197">
        <v>4</v>
      </c>
      <c r="V373" s="198">
        <v>0.375</v>
      </c>
      <c r="W373" s="198">
        <v>0</v>
      </c>
      <c r="X373" s="198">
        <v>1</v>
      </c>
      <c r="Y373" s="198">
        <v>0.16669999999999999</v>
      </c>
      <c r="Z373" s="199">
        <v>-0.8</v>
      </c>
      <c r="AA373" s="98" t="str">
        <f>AA372</f>
        <v>REG</v>
      </c>
    </row>
    <row r="374" spans="1:27" ht="40" customHeight="1" x14ac:dyDescent="0.2">
      <c r="A374" s="96" t="str">
        <f>A372</f>
        <v>SAINTS</v>
      </c>
      <c r="B374" s="96">
        <f t="shared" ref="B374" si="536">B373</f>
        <v>5</v>
      </c>
      <c r="C374" s="96">
        <f>C372</f>
        <v>8</v>
      </c>
      <c r="D374" s="128" t="s">
        <v>93</v>
      </c>
      <c r="E374" s="172">
        <v>0</v>
      </c>
      <c r="F374" s="172">
        <v>6</v>
      </c>
      <c r="G374" s="172">
        <v>0</v>
      </c>
      <c r="H374" s="172">
        <v>2</v>
      </c>
      <c r="I374" s="172">
        <v>0</v>
      </c>
      <c r="J374" s="172">
        <v>8</v>
      </c>
      <c r="K374" s="172">
        <v>0</v>
      </c>
      <c r="L374" s="172">
        <v>0</v>
      </c>
      <c r="M374" s="172">
        <v>3</v>
      </c>
      <c r="N374" s="172">
        <v>9</v>
      </c>
      <c r="O374" s="200">
        <v>0</v>
      </c>
      <c r="P374" s="201">
        <v>12</v>
      </c>
      <c r="Q374" s="201">
        <v>5</v>
      </c>
      <c r="R374" s="201">
        <v>0</v>
      </c>
      <c r="S374" s="201">
        <v>5</v>
      </c>
      <c r="T374" s="201">
        <v>3</v>
      </c>
      <c r="U374" s="201">
        <v>2</v>
      </c>
      <c r="V374" s="202">
        <v>0</v>
      </c>
      <c r="W374" s="202">
        <v>0</v>
      </c>
      <c r="X374" s="202">
        <v>0</v>
      </c>
      <c r="Y374" s="202">
        <v>0</v>
      </c>
      <c r="Z374" s="203">
        <v>5.0999999999999996</v>
      </c>
      <c r="AA374" s="98" t="str">
        <f>AA372</f>
        <v>REG</v>
      </c>
    </row>
    <row r="375" spans="1:27" ht="40" customHeight="1" x14ac:dyDescent="0.2">
      <c r="A375" s="96" t="str">
        <f t="shared" ref="A375:C375" si="537">A374</f>
        <v>SAINTS</v>
      </c>
      <c r="B375" s="96">
        <f t="shared" si="537"/>
        <v>5</v>
      </c>
      <c r="C375" s="96">
        <f t="shared" si="537"/>
        <v>8</v>
      </c>
      <c r="D375" s="128" t="s">
        <v>94</v>
      </c>
      <c r="E375" s="175">
        <v>3</v>
      </c>
      <c r="F375" s="175">
        <v>6</v>
      </c>
      <c r="G375" s="175">
        <v>0</v>
      </c>
      <c r="H375" s="175">
        <v>0</v>
      </c>
      <c r="I375" s="175">
        <v>3</v>
      </c>
      <c r="J375" s="175">
        <v>6</v>
      </c>
      <c r="K375" s="175">
        <v>0</v>
      </c>
      <c r="L375" s="175">
        <v>0</v>
      </c>
      <c r="M375" s="175">
        <v>0</v>
      </c>
      <c r="N375" s="175">
        <v>7</v>
      </c>
      <c r="O375" s="204">
        <v>6</v>
      </c>
      <c r="P375" s="205">
        <v>7</v>
      </c>
      <c r="Q375" s="205">
        <v>2</v>
      </c>
      <c r="R375" s="205">
        <v>0</v>
      </c>
      <c r="S375" s="205">
        <v>1</v>
      </c>
      <c r="T375" s="205">
        <v>0</v>
      </c>
      <c r="U375" s="205">
        <v>0</v>
      </c>
      <c r="V375" s="206">
        <v>0.5</v>
      </c>
      <c r="W375" s="206">
        <v>0</v>
      </c>
      <c r="X375" s="206">
        <v>0.5</v>
      </c>
      <c r="Y375" s="206">
        <v>0</v>
      </c>
      <c r="Z375" s="207">
        <v>8.9</v>
      </c>
      <c r="AA375" s="98" t="str">
        <f t="shared" ref="AA375" si="538">AA374</f>
        <v>REG</v>
      </c>
    </row>
    <row r="376" spans="1:27" ht="40" customHeight="1" x14ac:dyDescent="0.2">
      <c r="A376" s="96" t="str">
        <f>A375</f>
        <v>SAINTS</v>
      </c>
      <c r="B376" s="96">
        <f t="shared" ref="B376:B377" si="539">B375</f>
        <v>5</v>
      </c>
      <c r="C376" s="96">
        <f>C375</f>
        <v>8</v>
      </c>
      <c r="D376" s="128" t="s">
        <v>95</v>
      </c>
      <c r="E376" s="179">
        <v>0</v>
      </c>
      <c r="F376" s="179">
        <v>3</v>
      </c>
      <c r="G376" s="179">
        <v>2</v>
      </c>
      <c r="H376" s="179">
        <v>4</v>
      </c>
      <c r="I376" s="179">
        <v>2</v>
      </c>
      <c r="J376" s="179">
        <v>7</v>
      </c>
      <c r="K376" s="179">
        <v>0</v>
      </c>
      <c r="L376" s="179">
        <v>3</v>
      </c>
      <c r="M376" s="179">
        <v>0</v>
      </c>
      <c r="N376" s="179">
        <v>2</v>
      </c>
      <c r="O376" s="208">
        <v>6</v>
      </c>
      <c r="P376" s="209">
        <v>2</v>
      </c>
      <c r="Q376" s="209">
        <v>0</v>
      </c>
      <c r="R376" s="209">
        <v>0</v>
      </c>
      <c r="S376" s="209">
        <v>0</v>
      </c>
      <c r="T376" s="209">
        <v>0</v>
      </c>
      <c r="U376" s="209">
        <v>0</v>
      </c>
      <c r="V376" s="210">
        <v>0.28570000000000001</v>
      </c>
      <c r="W376" s="210">
        <v>0</v>
      </c>
      <c r="X376" s="210">
        <v>0</v>
      </c>
      <c r="Y376" s="210">
        <v>0.5</v>
      </c>
      <c r="Z376" s="211">
        <v>1.7</v>
      </c>
      <c r="AA376" s="98" t="str">
        <f>AA375</f>
        <v>REG</v>
      </c>
    </row>
    <row r="377" spans="1:27" ht="40" customHeight="1" x14ac:dyDescent="0.2">
      <c r="A377" s="96" t="str">
        <f>A376</f>
        <v>SAINTS</v>
      </c>
      <c r="B377" s="96">
        <f t="shared" si="539"/>
        <v>5</v>
      </c>
      <c r="C377" s="96">
        <f>C376</f>
        <v>8</v>
      </c>
      <c r="D377" s="128" t="s">
        <v>31</v>
      </c>
      <c r="E377" s="169">
        <v>10</v>
      </c>
      <c r="F377" s="169">
        <v>34</v>
      </c>
      <c r="G377" s="169">
        <v>9</v>
      </c>
      <c r="H377" s="169">
        <v>28</v>
      </c>
      <c r="I377" s="169">
        <v>19</v>
      </c>
      <c r="J377" s="169">
        <v>62</v>
      </c>
      <c r="K377" s="169">
        <v>2</v>
      </c>
      <c r="L377" s="169">
        <v>7</v>
      </c>
      <c r="M377" s="169">
        <f>SUM(M371:M376)</f>
        <v>4</v>
      </c>
      <c r="N377" s="169">
        <f>SUM(N371:N376)</f>
        <v>28</v>
      </c>
      <c r="O377" s="212">
        <v>49</v>
      </c>
      <c r="P377" s="213">
        <v>32</v>
      </c>
      <c r="Q377" s="213">
        <v>14</v>
      </c>
      <c r="R377" s="213">
        <v>0</v>
      </c>
      <c r="S377" s="213">
        <v>10</v>
      </c>
      <c r="T377" s="213">
        <v>10</v>
      </c>
      <c r="U377" s="213">
        <v>8</v>
      </c>
      <c r="V377" s="214">
        <v>0.30649999999999999</v>
      </c>
      <c r="W377" s="214">
        <v>0.28570000000000001</v>
      </c>
      <c r="X377" s="214">
        <v>0.29409999999999997</v>
      </c>
      <c r="Y377" s="214">
        <v>0.32140000000000002</v>
      </c>
      <c r="Z377" s="215">
        <v>5.63</v>
      </c>
      <c r="AA377" s="100" t="str">
        <f>AA376</f>
        <v>REG</v>
      </c>
    </row>
    <row r="378" spans="1:27" ht="40" customHeight="1" x14ac:dyDescent="0.2">
      <c r="A378" s="96" t="s">
        <v>38</v>
      </c>
      <c r="B378" s="96">
        <f t="shared" ref="B378" si="540">B377</f>
        <v>5</v>
      </c>
      <c r="C378" s="96">
        <f>C377</f>
        <v>8</v>
      </c>
      <c r="D378" s="163" t="s">
        <v>24</v>
      </c>
      <c r="E378" s="163"/>
      <c r="F378" s="163"/>
      <c r="G378" s="163"/>
      <c r="H378" s="164"/>
      <c r="I378" s="163"/>
      <c r="J378" s="163"/>
      <c r="K378" s="163"/>
      <c r="L378" s="163"/>
      <c r="M378" s="163"/>
      <c r="N378" s="163"/>
      <c r="O378" s="216">
        <v>56</v>
      </c>
      <c r="P378" s="216"/>
      <c r="Q378" s="216"/>
      <c r="R378" s="216"/>
      <c r="S378" s="216"/>
      <c r="T378" s="216"/>
      <c r="U378" s="216"/>
      <c r="V378" s="216"/>
      <c r="W378" s="216"/>
      <c r="X378" s="216"/>
      <c r="Y378" s="216"/>
      <c r="Z378" s="216"/>
      <c r="AA378" s="98" t="str">
        <f>AA377</f>
        <v>REG</v>
      </c>
    </row>
    <row r="379" spans="1:27" ht="40" customHeight="1" x14ac:dyDescent="0.2">
      <c r="A379" s="96" t="str">
        <f>D385</f>
        <v>MAGIC 3</v>
      </c>
      <c r="B379" s="96">
        <v>5</v>
      </c>
      <c r="C379" s="96">
        <f>C371+1</f>
        <v>9</v>
      </c>
      <c r="D379" s="128" t="s">
        <v>40</v>
      </c>
      <c r="E379" s="143">
        <v>12</v>
      </c>
      <c r="F379" s="143">
        <v>22</v>
      </c>
      <c r="G379" s="143">
        <v>1</v>
      </c>
      <c r="H379" s="143">
        <v>3</v>
      </c>
      <c r="I379" s="143">
        <v>13</v>
      </c>
      <c r="J379" s="143">
        <v>25</v>
      </c>
      <c r="K379" s="143">
        <v>3</v>
      </c>
      <c r="L379" s="143">
        <v>7</v>
      </c>
      <c r="M379" s="143">
        <v>6</v>
      </c>
      <c r="N379" s="143">
        <v>8</v>
      </c>
      <c r="O379" s="143">
        <v>30</v>
      </c>
      <c r="P379" s="143">
        <v>14</v>
      </c>
      <c r="Q379" s="143">
        <v>1</v>
      </c>
      <c r="R379" s="143">
        <v>0</v>
      </c>
      <c r="S379" s="143">
        <v>1</v>
      </c>
      <c r="T379" s="143">
        <v>4</v>
      </c>
      <c r="U379" s="143">
        <v>1</v>
      </c>
      <c r="V379" s="144">
        <v>0.52</v>
      </c>
      <c r="W379" s="144">
        <v>0.42857142857142855</v>
      </c>
      <c r="X379" s="144">
        <v>0.54545454545454541</v>
      </c>
      <c r="Y379" s="144">
        <v>0.33333333333333331</v>
      </c>
      <c r="Z379" s="145">
        <v>20.400000000000002</v>
      </c>
      <c r="AA379" s="98" t="s">
        <v>33</v>
      </c>
    </row>
    <row r="380" spans="1:27" ht="40" customHeight="1" x14ac:dyDescent="0.2">
      <c r="A380" s="96" t="str">
        <f>A379</f>
        <v>MAGIC 3</v>
      </c>
      <c r="B380" s="96">
        <f>B379</f>
        <v>5</v>
      </c>
      <c r="C380" s="96">
        <f>C379</f>
        <v>9</v>
      </c>
      <c r="D380" s="128" t="s">
        <v>48</v>
      </c>
      <c r="E380" s="146">
        <v>3</v>
      </c>
      <c r="F380" s="146">
        <v>12</v>
      </c>
      <c r="G380" s="146">
        <v>2</v>
      </c>
      <c r="H380" s="146">
        <v>5</v>
      </c>
      <c r="I380" s="146">
        <v>5</v>
      </c>
      <c r="J380" s="146">
        <v>17</v>
      </c>
      <c r="K380" s="146">
        <v>2</v>
      </c>
      <c r="L380" s="146">
        <v>3</v>
      </c>
      <c r="M380" s="146">
        <v>2</v>
      </c>
      <c r="N380" s="146">
        <v>7</v>
      </c>
      <c r="O380" s="146">
        <v>14</v>
      </c>
      <c r="P380" s="146">
        <v>9</v>
      </c>
      <c r="Q380" s="146">
        <v>4</v>
      </c>
      <c r="R380" s="146">
        <v>1</v>
      </c>
      <c r="S380" s="146">
        <v>3</v>
      </c>
      <c r="T380" s="146">
        <v>2</v>
      </c>
      <c r="U380" s="146">
        <v>0</v>
      </c>
      <c r="V380" s="147">
        <v>0.29411764705882354</v>
      </c>
      <c r="W380" s="147">
        <v>0.66666666666666663</v>
      </c>
      <c r="X380" s="147">
        <v>0.25</v>
      </c>
      <c r="Y380" s="147">
        <v>0.4</v>
      </c>
      <c r="Z380" s="148">
        <v>12.7</v>
      </c>
      <c r="AA380" s="98" t="str">
        <f>AA379</f>
        <v>REG</v>
      </c>
    </row>
    <row r="381" spans="1:27" ht="40" customHeight="1" x14ac:dyDescent="0.2">
      <c r="A381" s="96" t="str">
        <f>A380</f>
        <v>MAGIC 3</v>
      </c>
      <c r="B381" s="96">
        <f t="shared" ref="B381:C381" si="541">B380</f>
        <v>5</v>
      </c>
      <c r="C381" s="96">
        <f t="shared" si="541"/>
        <v>9</v>
      </c>
      <c r="D381" s="128" t="s">
        <v>47</v>
      </c>
      <c r="E381" s="149">
        <v>0</v>
      </c>
      <c r="F381" s="149">
        <v>5</v>
      </c>
      <c r="G381" s="149">
        <v>0</v>
      </c>
      <c r="H381" s="149">
        <v>3</v>
      </c>
      <c r="I381" s="149">
        <v>0</v>
      </c>
      <c r="J381" s="149">
        <v>8</v>
      </c>
      <c r="K381" s="149">
        <v>0</v>
      </c>
      <c r="L381" s="149">
        <v>0</v>
      </c>
      <c r="M381" s="149">
        <v>1</v>
      </c>
      <c r="N381" s="149">
        <v>3</v>
      </c>
      <c r="O381" s="149">
        <v>0</v>
      </c>
      <c r="P381" s="149">
        <v>2</v>
      </c>
      <c r="Q381" s="149">
        <v>4</v>
      </c>
      <c r="R381" s="149">
        <v>0</v>
      </c>
      <c r="S381" s="149">
        <v>3</v>
      </c>
      <c r="T381" s="149">
        <v>1</v>
      </c>
      <c r="U381" s="149">
        <v>2</v>
      </c>
      <c r="V381" s="150">
        <v>0</v>
      </c>
      <c r="W381" s="150">
        <v>0</v>
      </c>
      <c r="X381" s="150">
        <v>0</v>
      </c>
      <c r="Y381" s="150">
        <v>0</v>
      </c>
      <c r="Z381" s="151">
        <v>-0.59999999999999987</v>
      </c>
      <c r="AA381" s="98" t="str">
        <f>AA380</f>
        <v>REG</v>
      </c>
    </row>
    <row r="382" spans="1:27" ht="40" customHeight="1" x14ac:dyDescent="0.2">
      <c r="A382" s="96" t="str">
        <f>A380</f>
        <v>MAGIC 3</v>
      </c>
      <c r="B382" s="96">
        <f t="shared" ref="B382" si="542">B381</f>
        <v>5</v>
      </c>
      <c r="C382" s="96">
        <f>C380</f>
        <v>9</v>
      </c>
      <c r="D382" s="128" t="s">
        <v>93</v>
      </c>
      <c r="E382" s="172">
        <v>1</v>
      </c>
      <c r="F382" s="172">
        <v>5</v>
      </c>
      <c r="G382" s="172">
        <v>0</v>
      </c>
      <c r="H382" s="172">
        <v>1</v>
      </c>
      <c r="I382" s="172">
        <v>1</v>
      </c>
      <c r="J382" s="172">
        <v>6</v>
      </c>
      <c r="K382" s="172">
        <v>1</v>
      </c>
      <c r="L382" s="172">
        <v>4</v>
      </c>
      <c r="M382" s="172">
        <v>1</v>
      </c>
      <c r="N382" s="172">
        <v>3</v>
      </c>
      <c r="O382" s="172">
        <v>3</v>
      </c>
      <c r="P382" s="172">
        <v>4</v>
      </c>
      <c r="Q382" s="172">
        <v>4</v>
      </c>
      <c r="R382" s="172">
        <v>1</v>
      </c>
      <c r="S382" s="172">
        <v>3</v>
      </c>
      <c r="T382" s="172">
        <v>4</v>
      </c>
      <c r="U382" s="172">
        <v>3</v>
      </c>
      <c r="V382" s="173">
        <v>0.16666666666666666</v>
      </c>
      <c r="W382" s="173">
        <v>0.25</v>
      </c>
      <c r="X382" s="173">
        <v>0.2</v>
      </c>
      <c r="Y382" s="173">
        <v>0</v>
      </c>
      <c r="Z382" s="174">
        <v>1.3000000000000007</v>
      </c>
      <c r="AA382" s="98" t="str">
        <f>AA380</f>
        <v>REG</v>
      </c>
    </row>
    <row r="383" spans="1:27" ht="40" customHeight="1" x14ac:dyDescent="0.2">
      <c r="A383" s="96" t="str">
        <f t="shared" ref="A383:C384" si="543">A382</f>
        <v>MAGIC 3</v>
      </c>
      <c r="B383" s="96">
        <f t="shared" si="543"/>
        <v>5</v>
      </c>
      <c r="C383" s="96">
        <f t="shared" si="543"/>
        <v>9</v>
      </c>
      <c r="D383" s="128" t="s">
        <v>94</v>
      </c>
      <c r="E383" s="175">
        <v>1</v>
      </c>
      <c r="F383" s="175">
        <v>4</v>
      </c>
      <c r="G383" s="175">
        <v>0</v>
      </c>
      <c r="H383" s="175">
        <v>0</v>
      </c>
      <c r="I383" s="175">
        <v>1</v>
      </c>
      <c r="J383" s="175">
        <v>4</v>
      </c>
      <c r="K383" s="175">
        <v>0</v>
      </c>
      <c r="L383" s="175">
        <v>0</v>
      </c>
      <c r="M383" s="175">
        <v>1</v>
      </c>
      <c r="N383" s="175">
        <v>4</v>
      </c>
      <c r="O383" s="175">
        <v>2</v>
      </c>
      <c r="P383" s="175">
        <v>5</v>
      </c>
      <c r="Q383" s="175">
        <v>0</v>
      </c>
      <c r="R383" s="175">
        <v>1</v>
      </c>
      <c r="S383" s="175">
        <v>3</v>
      </c>
      <c r="T383" s="175">
        <v>1</v>
      </c>
      <c r="U383" s="175">
        <v>5</v>
      </c>
      <c r="V383" s="176">
        <v>0.25</v>
      </c>
      <c r="W383" s="176">
        <v>0</v>
      </c>
      <c r="X383" s="176">
        <v>0.25</v>
      </c>
      <c r="Y383" s="176">
        <v>0</v>
      </c>
      <c r="Z383" s="177">
        <v>2.8</v>
      </c>
      <c r="AA383" s="98" t="str">
        <f t="shared" ref="AA383:AA384" si="544">AA382</f>
        <v>REG</v>
      </c>
    </row>
    <row r="384" spans="1:27" ht="40" customHeight="1" x14ac:dyDescent="0.2">
      <c r="A384" s="96" t="str">
        <f t="shared" si="543"/>
        <v>MAGIC 3</v>
      </c>
      <c r="B384" s="96">
        <f t="shared" si="543"/>
        <v>5</v>
      </c>
      <c r="C384" s="96">
        <f t="shared" si="543"/>
        <v>9</v>
      </c>
      <c r="D384" s="128" t="s">
        <v>31</v>
      </c>
      <c r="E384" s="169">
        <v>17</v>
      </c>
      <c r="F384" s="169">
        <v>48</v>
      </c>
      <c r="G384" s="169">
        <v>3</v>
      </c>
      <c r="H384" s="169">
        <v>12</v>
      </c>
      <c r="I384" s="169">
        <v>20</v>
      </c>
      <c r="J384" s="169">
        <v>60</v>
      </c>
      <c r="K384" s="169">
        <v>6</v>
      </c>
      <c r="L384" s="169">
        <v>14</v>
      </c>
      <c r="M384" s="169">
        <f>SUM(M379:M383)</f>
        <v>11</v>
      </c>
      <c r="N384" s="169">
        <f>SUM(N379:N383)</f>
        <v>25</v>
      </c>
      <c r="O384" s="169">
        <v>49</v>
      </c>
      <c r="P384" s="169">
        <v>34</v>
      </c>
      <c r="Q384" s="169">
        <v>13</v>
      </c>
      <c r="R384" s="169">
        <v>3</v>
      </c>
      <c r="S384" s="169">
        <v>13</v>
      </c>
      <c r="T384" s="169">
        <v>12</v>
      </c>
      <c r="U384" s="169">
        <v>11</v>
      </c>
      <c r="V384" s="185">
        <v>0.33333333333333331</v>
      </c>
      <c r="W384" s="185">
        <v>0.42857142857142855</v>
      </c>
      <c r="X384" s="185">
        <v>0.35416666666666669</v>
      </c>
      <c r="Y384" s="185">
        <v>0.25</v>
      </c>
      <c r="Z384" s="186">
        <v>7.3199999999999985</v>
      </c>
      <c r="AA384" s="98" t="str">
        <f t="shared" si="544"/>
        <v>REG</v>
      </c>
    </row>
    <row r="385" spans="1:27" ht="40" customHeight="1" x14ac:dyDescent="0.2">
      <c r="A385" s="96" t="s">
        <v>38</v>
      </c>
      <c r="B385" s="96">
        <f t="shared" ref="B385" si="545">B384</f>
        <v>5</v>
      </c>
      <c r="C385" s="96">
        <f>C384</f>
        <v>9</v>
      </c>
      <c r="D385" s="163" t="s">
        <v>92</v>
      </c>
      <c r="E385" s="163"/>
      <c r="F385" s="163"/>
      <c r="G385" s="163"/>
      <c r="H385" s="187"/>
      <c r="I385" s="163"/>
      <c r="J385" s="163"/>
      <c r="K385" s="163"/>
      <c r="L385" s="163"/>
      <c r="O385" s="163">
        <v>49</v>
      </c>
      <c r="P385" s="163"/>
      <c r="Q385" s="163"/>
      <c r="R385" s="163"/>
      <c r="S385" s="163"/>
      <c r="T385" s="163"/>
      <c r="U385" s="163"/>
      <c r="V385" s="163"/>
      <c r="W385" s="163"/>
      <c r="X385" s="163"/>
      <c r="Y385" s="163"/>
      <c r="Z385" s="163"/>
      <c r="AA385" s="98" t="str">
        <f>AA384</f>
        <v>REG</v>
      </c>
    </row>
    <row r="386" spans="1:27" ht="40" customHeight="1" x14ac:dyDescent="0.2">
      <c r="A386" s="96" t="str">
        <f>D392</f>
        <v>MAGIC 4</v>
      </c>
      <c r="B386" s="96">
        <v>5</v>
      </c>
      <c r="C386" s="96">
        <f>C379+1</f>
        <v>10</v>
      </c>
      <c r="D386" s="128" t="s">
        <v>40</v>
      </c>
      <c r="E386" s="143">
        <v>11</v>
      </c>
      <c r="F386" s="143">
        <v>15</v>
      </c>
      <c r="G386" s="143">
        <v>3</v>
      </c>
      <c r="H386" s="143">
        <v>9</v>
      </c>
      <c r="I386" s="143">
        <v>14</v>
      </c>
      <c r="J386" s="143">
        <v>24</v>
      </c>
      <c r="K386" s="143">
        <v>0</v>
      </c>
      <c r="L386" s="143">
        <v>3</v>
      </c>
      <c r="M386" s="143">
        <v>4</v>
      </c>
      <c r="N386" s="143">
        <v>9</v>
      </c>
      <c r="O386" s="143">
        <v>31</v>
      </c>
      <c r="P386" s="143">
        <v>13</v>
      </c>
      <c r="Q386" s="143">
        <v>8</v>
      </c>
      <c r="R386" s="143">
        <v>1</v>
      </c>
      <c r="S386" s="143">
        <v>2</v>
      </c>
      <c r="T386" s="143">
        <v>2</v>
      </c>
      <c r="U386" s="143">
        <v>0</v>
      </c>
      <c r="V386" s="144">
        <v>0.58333333333333337</v>
      </c>
      <c r="W386" s="144">
        <v>0</v>
      </c>
      <c r="X386" s="144">
        <v>0.73333333333333328</v>
      </c>
      <c r="Y386" s="144">
        <v>0.33333333333333331</v>
      </c>
      <c r="Z386" s="145">
        <v>31.400000000000006</v>
      </c>
      <c r="AA386" s="98" t="s">
        <v>33</v>
      </c>
    </row>
    <row r="387" spans="1:27" ht="40" customHeight="1" x14ac:dyDescent="0.2">
      <c r="A387" s="96" t="str">
        <f>A386</f>
        <v>MAGIC 4</v>
      </c>
      <c r="B387" s="96">
        <f>B386</f>
        <v>5</v>
      </c>
      <c r="C387" s="96">
        <f>C386</f>
        <v>10</v>
      </c>
      <c r="D387" s="128" t="s">
        <v>48</v>
      </c>
      <c r="E387" s="146">
        <v>14</v>
      </c>
      <c r="F387" s="146">
        <v>23</v>
      </c>
      <c r="G387" s="146">
        <v>3</v>
      </c>
      <c r="H387" s="146">
        <v>12</v>
      </c>
      <c r="I387" s="146">
        <v>17</v>
      </c>
      <c r="J387" s="146">
        <v>35</v>
      </c>
      <c r="K387" s="146">
        <v>0</v>
      </c>
      <c r="L387" s="146">
        <v>0</v>
      </c>
      <c r="M387" s="146">
        <v>4</v>
      </c>
      <c r="N387" s="146">
        <v>10</v>
      </c>
      <c r="O387" s="146">
        <v>37</v>
      </c>
      <c r="P387" s="146">
        <v>14</v>
      </c>
      <c r="Q387" s="146">
        <v>5</v>
      </c>
      <c r="R387" s="146">
        <v>1</v>
      </c>
      <c r="S387" s="146">
        <v>3</v>
      </c>
      <c r="T387" s="146">
        <v>0</v>
      </c>
      <c r="U387" s="146">
        <v>2</v>
      </c>
      <c r="V387" s="147">
        <v>0.48571428571428571</v>
      </c>
      <c r="W387" s="147">
        <v>0</v>
      </c>
      <c r="X387" s="147">
        <v>0.60869565217391308</v>
      </c>
      <c r="Y387" s="147">
        <v>0.25</v>
      </c>
      <c r="Z387" s="148">
        <v>32.700000000000003</v>
      </c>
      <c r="AA387" s="98" t="str">
        <f>AA386</f>
        <v>REG</v>
      </c>
    </row>
    <row r="388" spans="1:27" ht="40" customHeight="1" x14ac:dyDescent="0.2">
      <c r="A388" s="96" t="str">
        <f>A387</f>
        <v>MAGIC 4</v>
      </c>
      <c r="B388" s="96">
        <f t="shared" ref="B388:C388" si="546">B387</f>
        <v>5</v>
      </c>
      <c r="C388" s="96">
        <f t="shared" si="546"/>
        <v>10</v>
      </c>
      <c r="D388" s="128" t="s">
        <v>47</v>
      </c>
      <c r="E388" s="149">
        <v>2</v>
      </c>
      <c r="F388" s="149">
        <v>4</v>
      </c>
      <c r="G388" s="149">
        <v>0</v>
      </c>
      <c r="H388" s="149">
        <v>5</v>
      </c>
      <c r="I388" s="149">
        <v>2</v>
      </c>
      <c r="J388" s="149">
        <v>9</v>
      </c>
      <c r="K388" s="149">
        <v>0</v>
      </c>
      <c r="L388" s="149">
        <v>0</v>
      </c>
      <c r="M388" s="149">
        <v>1</v>
      </c>
      <c r="N388" s="149">
        <v>4</v>
      </c>
      <c r="O388" s="149">
        <v>4</v>
      </c>
      <c r="P388" s="149">
        <v>5</v>
      </c>
      <c r="Q388" s="149">
        <v>5</v>
      </c>
      <c r="R388" s="149">
        <v>0</v>
      </c>
      <c r="S388" s="149">
        <v>5</v>
      </c>
      <c r="T388" s="149">
        <v>1</v>
      </c>
      <c r="U388" s="149">
        <v>1</v>
      </c>
      <c r="V388" s="150">
        <v>0.22222222222222221</v>
      </c>
      <c r="W388" s="150">
        <v>0</v>
      </c>
      <c r="X388" s="150">
        <v>0.5</v>
      </c>
      <c r="Y388" s="150">
        <v>0</v>
      </c>
      <c r="Z388" s="151">
        <v>8.1</v>
      </c>
      <c r="AA388" s="98" t="str">
        <f>AA387</f>
        <v>REG</v>
      </c>
    </row>
    <row r="389" spans="1:27" ht="40" customHeight="1" x14ac:dyDescent="0.2">
      <c r="A389" s="96" t="str">
        <f>A387</f>
        <v>MAGIC 4</v>
      </c>
      <c r="B389" s="96">
        <f t="shared" ref="B389" si="547">B388</f>
        <v>5</v>
      </c>
      <c r="C389" s="96">
        <f>C387</f>
        <v>10</v>
      </c>
      <c r="D389" s="128" t="s">
        <v>93</v>
      </c>
      <c r="E389" s="172">
        <v>3</v>
      </c>
      <c r="F389" s="172">
        <v>6</v>
      </c>
      <c r="G389" s="172">
        <v>0</v>
      </c>
      <c r="H389" s="172">
        <v>0</v>
      </c>
      <c r="I389" s="172">
        <v>3</v>
      </c>
      <c r="J389" s="172">
        <v>6</v>
      </c>
      <c r="K389" s="172">
        <v>0</v>
      </c>
      <c r="L389" s="172">
        <v>0</v>
      </c>
      <c r="M389" s="172">
        <v>0</v>
      </c>
      <c r="N389" s="172">
        <v>1</v>
      </c>
      <c r="O389" s="172">
        <v>6</v>
      </c>
      <c r="P389" s="172">
        <v>1</v>
      </c>
      <c r="Q389" s="172">
        <v>2</v>
      </c>
      <c r="R389" s="172">
        <v>0</v>
      </c>
      <c r="S389" s="172">
        <v>1</v>
      </c>
      <c r="T389" s="172">
        <v>0</v>
      </c>
      <c r="U389" s="172">
        <v>0</v>
      </c>
      <c r="V389" s="173">
        <v>0.5</v>
      </c>
      <c r="W389" s="173">
        <v>0</v>
      </c>
      <c r="X389" s="173">
        <v>0.5</v>
      </c>
      <c r="Y389" s="173">
        <v>0</v>
      </c>
      <c r="Z389" s="174">
        <v>5.9</v>
      </c>
      <c r="AA389" s="98" t="str">
        <f>AA387</f>
        <v>REG</v>
      </c>
    </row>
    <row r="390" spans="1:27" ht="40" customHeight="1" x14ac:dyDescent="0.2">
      <c r="A390" s="96" t="str">
        <f t="shared" ref="A390:C391" si="548">A389</f>
        <v>MAGIC 4</v>
      </c>
      <c r="B390" s="96">
        <f t="shared" si="548"/>
        <v>5</v>
      </c>
      <c r="C390" s="96">
        <f t="shared" si="548"/>
        <v>10</v>
      </c>
      <c r="D390" s="128" t="s">
        <v>94</v>
      </c>
      <c r="E390" s="175">
        <v>2</v>
      </c>
      <c r="F390" s="175">
        <v>7</v>
      </c>
      <c r="G390" s="175">
        <v>0</v>
      </c>
      <c r="H390" s="175">
        <v>0</v>
      </c>
      <c r="I390" s="175">
        <v>2</v>
      </c>
      <c r="J390" s="175">
        <v>7</v>
      </c>
      <c r="K390" s="175">
        <v>0</v>
      </c>
      <c r="L390" s="175">
        <v>5</v>
      </c>
      <c r="M390" s="175">
        <v>6</v>
      </c>
      <c r="N390" s="175">
        <v>8</v>
      </c>
      <c r="O390" s="175">
        <v>4</v>
      </c>
      <c r="P390" s="175">
        <v>14</v>
      </c>
      <c r="Q390" s="175">
        <v>0</v>
      </c>
      <c r="R390" s="175">
        <v>0</v>
      </c>
      <c r="S390" s="175">
        <v>1</v>
      </c>
      <c r="T390" s="175">
        <v>0</v>
      </c>
      <c r="U390" s="175">
        <v>3</v>
      </c>
      <c r="V390" s="176">
        <v>0.2857142857142857</v>
      </c>
      <c r="W390" s="176">
        <v>0</v>
      </c>
      <c r="X390" s="176">
        <v>0.2857142857142857</v>
      </c>
      <c r="Y390" s="176">
        <v>0</v>
      </c>
      <c r="Z390" s="177">
        <v>4.7</v>
      </c>
      <c r="AA390" s="98" t="str">
        <f t="shared" ref="AA390" si="549">AA389</f>
        <v>REG</v>
      </c>
    </row>
    <row r="391" spans="1:27" ht="40" customHeight="1" x14ac:dyDescent="0.2">
      <c r="A391" s="96" t="str">
        <f t="shared" si="548"/>
        <v>MAGIC 4</v>
      </c>
      <c r="B391" s="96">
        <f t="shared" si="548"/>
        <v>5</v>
      </c>
      <c r="C391" s="96">
        <f t="shared" si="548"/>
        <v>10</v>
      </c>
      <c r="D391" s="128" t="s">
        <v>31</v>
      </c>
      <c r="E391" s="169">
        <v>32</v>
      </c>
      <c r="F391" s="169">
        <v>55</v>
      </c>
      <c r="G391" s="169">
        <v>6</v>
      </c>
      <c r="H391" s="169">
        <v>26</v>
      </c>
      <c r="I391" s="169">
        <v>38</v>
      </c>
      <c r="J391" s="169">
        <v>81</v>
      </c>
      <c r="K391" s="169">
        <v>0</v>
      </c>
      <c r="L391" s="169">
        <v>8</v>
      </c>
      <c r="M391" s="169">
        <f>SUM(M386:M390)</f>
        <v>15</v>
      </c>
      <c r="N391" s="169">
        <f>SUM(N386:N390)</f>
        <v>32</v>
      </c>
      <c r="O391" s="169">
        <v>82</v>
      </c>
      <c r="P391" s="169">
        <v>47</v>
      </c>
      <c r="Q391" s="169">
        <v>20</v>
      </c>
      <c r="R391" s="169">
        <v>2</v>
      </c>
      <c r="S391" s="169">
        <v>12</v>
      </c>
      <c r="T391" s="169">
        <v>3</v>
      </c>
      <c r="U391" s="169">
        <v>6</v>
      </c>
      <c r="V391" s="185">
        <v>0.46913580246913578</v>
      </c>
      <c r="W391" s="185">
        <v>0</v>
      </c>
      <c r="X391" s="185">
        <v>0.58181818181818179</v>
      </c>
      <c r="Y391" s="185">
        <v>0.23076923076923078</v>
      </c>
      <c r="Z391" s="186">
        <v>16.560000000000002</v>
      </c>
      <c r="AA391" s="100" t="str">
        <f>AA390</f>
        <v>REG</v>
      </c>
    </row>
    <row r="392" spans="1:27" ht="40" customHeight="1" x14ac:dyDescent="0.2">
      <c r="A392" s="96" t="s">
        <v>38</v>
      </c>
      <c r="B392" s="96">
        <f t="shared" ref="B392" si="550">B391</f>
        <v>5</v>
      </c>
      <c r="C392" s="96">
        <f>C391</f>
        <v>10</v>
      </c>
      <c r="D392" s="163" t="s">
        <v>91</v>
      </c>
      <c r="E392" s="163"/>
      <c r="F392" s="163"/>
      <c r="G392" s="163"/>
      <c r="H392" s="165"/>
      <c r="I392" s="163"/>
      <c r="J392" s="163"/>
      <c r="K392" s="163"/>
      <c r="L392" s="163"/>
      <c r="O392" s="163">
        <v>37</v>
      </c>
      <c r="P392" s="163"/>
      <c r="Q392" s="163"/>
      <c r="R392" s="163"/>
      <c r="S392" s="163"/>
      <c r="T392" s="163"/>
      <c r="U392" s="163"/>
      <c r="V392" s="163"/>
      <c r="W392" s="163"/>
      <c r="X392" s="163"/>
      <c r="Y392" s="163"/>
      <c r="Z392" s="163"/>
      <c r="AA392" s="98" t="str">
        <f>AA391</f>
        <v>REG</v>
      </c>
    </row>
    <row r="393" spans="1:27" ht="40" customHeight="1" x14ac:dyDescent="0.2">
      <c r="A393" s="96" t="str">
        <f>D400</f>
        <v>MAGIC 2</v>
      </c>
      <c r="B393" s="96">
        <v>5</v>
      </c>
      <c r="C393" s="96">
        <f>C386+1</f>
        <v>11</v>
      </c>
      <c r="D393" s="128" t="s">
        <v>40</v>
      </c>
      <c r="E393" s="143">
        <v>10</v>
      </c>
      <c r="F393" s="143">
        <v>15</v>
      </c>
      <c r="G393" s="143">
        <v>0</v>
      </c>
      <c r="H393" s="143">
        <v>4</v>
      </c>
      <c r="I393" s="143">
        <v>10</v>
      </c>
      <c r="J393" s="143">
        <v>19</v>
      </c>
      <c r="K393" s="143">
        <v>1</v>
      </c>
      <c r="L393" s="143">
        <v>3</v>
      </c>
      <c r="M393" s="143">
        <v>4</v>
      </c>
      <c r="N393" s="143">
        <v>7</v>
      </c>
      <c r="O393" s="143">
        <v>21</v>
      </c>
      <c r="P393" s="143">
        <v>11</v>
      </c>
      <c r="Q393" s="143">
        <v>7</v>
      </c>
      <c r="R393" s="143">
        <v>0</v>
      </c>
      <c r="S393" s="143">
        <v>1</v>
      </c>
      <c r="T393" s="143">
        <v>3</v>
      </c>
      <c r="U393" s="143">
        <v>1</v>
      </c>
      <c r="V393" s="144">
        <v>0.52631578947368418</v>
      </c>
      <c r="W393" s="144">
        <v>0.33333333333333331</v>
      </c>
      <c r="X393" s="144">
        <v>0.66666666666666663</v>
      </c>
      <c r="Y393" s="144">
        <v>0</v>
      </c>
      <c r="Z393" s="145">
        <v>18.899999999999999</v>
      </c>
      <c r="AA393" s="98" t="s">
        <v>33</v>
      </c>
    </row>
    <row r="394" spans="1:27" ht="40" customHeight="1" x14ac:dyDescent="0.2">
      <c r="A394" s="96" t="str">
        <f>A393</f>
        <v>MAGIC 2</v>
      </c>
      <c r="B394" s="96">
        <f>B393</f>
        <v>5</v>
      </c>
      <c r="C394" s="96">
        <f>C393</f>
        <v>11</v>
      </c>
      <c r="D394" s="128" t="s">
        <v>48</v>
      </c>
      <c r="E394" s="146">
        <v>6</v>
      </c>
      <c r="F394" s="146">
        <v>8</v>
      </c>
      <c r="G394" s="146">
        <v>4</v>
      </c>
      <c r="H394" s="146">
        <v>10</v>
      </c>
      <c r="I394" s="146">
        <v>10</v>
      </c>
      <c r="J394" s="146">
        <v>18</v>
      </c>
      <c r="K394" s="146">
        <v>0</v>
      </c>
      <c r="L394" s="146">
        <v>0</v>
      </c>
      <c r="M394" s="146">
        <v>3</v>
      </c>
      <c r="N394" s="146">
        <v>9</v>
      </c>
      <c r="O394" s="146">
        <v>24</v>
      </c>
      <c r="P394" s="146">
        <v>12</v>
      </c>
      <c r="Q394" s="146">
        <v>2</v>
      </c>
      <c r="R394" s="146">
        <v>0</v>
      </c>
      <c r="S394" s="146">
        <v>0</v>
      </c>
      <c r="T394" s="146">
        <v>2</v>
      </c>
      <c r="U394" s="146">
        <v>1</v>
      </c>
      <c r="V394" s="147">
        <v>0.55555555555555558</v>
      </c>
      <c r="W394" s="147">
        <v>0</v>
      </c>
      <c r="X394" s="147">
        <v>0.75</v>
      </c>
      <c r="Y394" s="147">
        <v>0.4</v>
      </c>
      <c r="Z394" s="148">
        <v>20.399999999999999</v>
      </c>
      <c r="AA394" s="98" t="str">
        <f>AA393</f>
        <v>REG</v>
      </c>
    </row>
    <row r="395" spans="1:27" ht="40" customHeight="1" x14ac:dyDescent="0.2">
      <c r="A395" s="96" t="str">
        <f>A394</f>
        <v>MAGIC 2</v>
      </c>
      <c r="B395" s="96">
        <f t="shared" ref="B395:C396" si="551">B394</f>
        <v>5</v>
      </c>
      <c r="C395" s="96">
        <f t="shared" si="551"/>
        <v>11</v>
      </c>
      <c r="D395" s="128" t="s">
        <v>47</v>
      </c>
      <c r="E395" s="149">
        <v>6</v>
      </c>
      <c r="F395" s="149">
        <v>10</v>
      </c>
      <c r="G395" s="149">
        <v>0</v>
      </c>
      <c r="H395" s="149">
        <v>3</v>
      </c>
      <c r="I395" s="149">
        <v>6</v>
      </c>
      <c r="J395" s="149">
        <v>13</v>
      </c>
      <c r="K395" s="149">
        <v>0</v>
      </c>
      <c r="L395" s="149">
        <v>4</v>
      </c>
      <c r="M395" s="149">
        <v>1</v>
      </c>
      <c r="N395" s="149">
        <v>4</v>
      </c>
      <c r="O395" s="149">
        <v>12</v>
      </c>
      <c r="P395" s="149">
        <v>5</v>
      </c>
      <c r="Q395" s="149">
        <v>7</v>
      </c>
      <c r="R395" s="149">
        <v>0</v>
      </c>
      <c r="S395" s="149">
        <v>0</v>
      </c>
      <c r="T395" s="149">
        <v>1</v>
      </c>
      <c r="U395" s="149">
        <v>2</v>
      </c>
      <c r="V395" s="150">
        <v>0.46153846153846156</v>
      </c>
      <c r="W395" s="150">
        <v>0</v>
      </c>
      <c r="X395" s="150">
        <v>0.6</v>
      </c>
      <c r="Y395" s="150">
        <v>0</v>
      </c>
      <c r="Z395" s="151">
        <v>9.3000000000000007</v>
      </c>
      <c r="AA395" s="98" t="str">
        <f>AA394</f>
        <v>REG</v>
      </c>
    </row>
    <row r="396" spans="1:27" ht="40" customHeight="1" x14ac:dyDescent="0.2">
      <c r="A396" s="96" t="str">
        <f>A395</f>
        <v>MAGIC 2</v>
      </c>
      <c r="B396" s="96">
        <f t="shared" si="551"/>
        <v>5</v>
      </c>
      <c r="C396" s="96">
        <f t="shared" si="551"/>
        <v>11</v>
      </c>
      <c r="D396" s="128" t="s">
        <v>94</v>
      </c>
      <c r="E396" s="175">
        <v>2</v>
      </c>
      <c r="F396" s="175">
        <v>4</v>
      </c>
      <c r="G396" s="175">
        <v>0</v>
      </c>
      <c r="H396" s="175">
        <v>1</v>
      </c>
      <c r="I396" s="175">
        <v>2</v>
      </c>
      <c r="J396" s="175">
        <v>5</v>
      </c>
      <c r="K396" s="175">
        <v>0</v>
      </c>
      <c r="L396" s="175">
        <v>1</v>
      </c>
      <c r="M396" s="175">
        <v>2</v>
      </c>
      <c r="N396" s="175">
        <v>7</v>
      </c>
      <c r="O396" s="175">
        <v>4</v>
      </c>
      <c r="P396" s="175">
        <v>9</v>
      </c>
      <c r="Q396" s="175">
        <v>2</v>
      </c>
      <c r="R396" s="175">
        <v>0</v>
      </c>
      <c r="S396" s="175">
        <v>4</v>
      </c>
      <c r="T396" s="175">
        <v>0</v>
      </c>
      <c r="U396" s="175">
        <v>2</v>
      </c>
      <c r="V396" s="176">
        <v>0.4</v>
      </c>
      <c r="W396" s="176">
        <v>0</v>
      </c>
      <c r="X396" s="176">
        <v>0.5</v>
      </c>
      <c r="Y396" s="176">
        <v>0</v>
      </c>
      <c r="Z396" s="177">
        <v>9.9999999999999982</v>
      </c>
      <c r="AA396" s="98" t="str">
        <f>AA395</f>
        <v>REG</v>
      </c>
    </row>
    <row r="397" spans="1:27" ht="40" customHeight="1" x14ac:dyDescent="0.2">
      <c r="A397" s="96" t="str">
        <f>A396</f>
        <v>MAGIC 2</v>
      </c>
      <c r="B397" s="96">
        <f t="shared" ref="B397" si="552">B396</f>
        <v>5</v>
      </c>
      <c r="C397" s="96">
        <f>C396</f>
        <v>11</v>
      </c>
      <c r="D397" s="128" t="s">
        <v>95</v>
      </c>
      <c r="E397" s="179">
        <v>4</v>
      </c>
      <c r="F397" s="179">
        <v>9</v>
      </c>
      <c r="G397" s="179">
        <v>2</v>
      </c>
      <c r="H397" s="179">
        <v>5</v>
      </c>
      <c r="I397" s="179">
        <v>6</v>
      </c>
      <c r="J397" s="179">
        <v>14</v>
      </c>
      <c r="K397" s="179">
        <v>0</v>
      </c>
      <c r="L397" s="179">
        <v>0</v>
      </c>
      <c r="M397" s="179">
        <v>1</v>
      </c>
      <c r="N397" s="179">
        <v>5</v>
      </c>
      <c r="O397" s="179">
        <v>14</v>
      </c>
      <c r="P397" s="179">
        <v>6</v>
      </c>
      <c r="Q397" s="179">
        <v>2</v>
      </c>
      <c r="R397" s="179">
        <v>0</v>
      </c>
      <c r="S397" s="179">
        <v>1</v>
      </c>
      <c r="T397" s="179">
        <v>2</v>
      </c>
      <c r="U397" s="179">
        <v>0</v>
      </c>
      <c r="V397" s="180">
        <v>0.42857142857142855</v>
      </c>
      <c r="W397" s="180">
        <v>0</v>
      </c>
      <c r="X397" s="180">
        <v>0.44444444444444442</v>
      </c>
      <c r="Y397" s="180">
        <v>0.4</v>
      </c>
      <c r="Z397" s="181">
        <v>10</v>
      </c>
      <c r="AA397" s="98" t="str">
        <f>AA396</f>
        <v>REG</v>
      </c>
    </row>
    <row r="398" spans="1:27" ht="40" customHeight="1" x14ac:dyDescent="0.2">
      <c r="A398" s="96" t="str">
        <f>A397</f>
        <v>MAGIC 2</v>
      </c>
      <c r="B398" s="96">
        <f t="shared" ref="B398" si="553">B397</f>
        <v>5</v>
      </c>
      <c r="C398" s="96">
        <f>C397</f>
        <v>11</v>
      </c>
      <c r="D398" s="128" t="s">
        <v>96</v>
      </c>
      <c r="E398" s="182">
        <v>7</v>
      </c>
      <c r="F398" s="182">
        <v>11</v>
      </c>
      <c r="G398" s="182">
        <v>0</v>
      </c>
      <c r="H398" s="182">
        <v>1</v>
      </c>
      <c r="I398" s="182">
        <v>7</v>
      </c>
      <c r="J398" s="182">
        <v>12</v>
      </c>
      <c r="K398" s="182">
        <v>0</v>
      </c>
      <c r="L398" s="182">
        <v>1</v>
      </c>
      <c r="M398" s="182">
        <v>3</v>
      </c>
      <c r="N398" s="182">
        <v>10</v>
      </c>
      <c r="O398" s="182">
        <v>14</v>
      </c>
      <c r="P398" s="182">
        <v>13</v>
      </c>
      <c r="Q398" s="182">
        <v>4</v>
      </c>
      <c r="R398" s="182">
        <v>0</v>
      </c>
      <c r="S398" s="182">
        <v>0</v>
      </c>
      <c r="T398" s="182">
        <v>1</v>
      </c>
      <c r="U398" s="182">
        <v>0</v>
      </c>
      <c r="V398" s="183">
        <v>0.58333333333333337</v>
      </c>
      <c r="W398" s="183">
        <v>0</v>
      </c>
      <c r="X398" s="183">
        <v>0.63636363636363635</v>
      </c>
      <c r="Y398" s="183">
        <v>0</v>
      </c>
      <c r="Z398" s="184">
        <v>16.3</v>
      </c>
      <c r="AA398" s="100" t="str">
        <f>AA397</f>
        <v>REG</v>
      </c>
    </row>
    <row r="399" spans="1:27" ht="40" customHeight="1" x14ac:dyDescent="0.2">
      <c r="A399" s="96" t="str">
        <f>A398</f>
        <v>MAGIC 2</v>
      </c>
      <c r="B399" s="96">
        <f t="shared" ref="B399:C399" si="554">B398</f>
        <v>5</v>
      </c>
      <c r="C399" s="96">
        <f t="shared" si="554"/>
        <v>11</v>
      </c>
      <c r="D399" s="128" t="s">
        <v>31</v>
      </c>
      <c r="E399" s="169">
        <v>35</v>
      </c>
      <c r="F399" s="169">
        <v>57</v>
      </c>
      <c r="G399" s="169">
        <v>6</v>
      </c>
      <c r="H399" s="169">
        <v>24</v>
      </c>
      <c r="I399" s="169">
        <v>41</v>
      </c>
      <c r="J399" s="169">
        <v>81</v>
      </c>
      <c r="K399" s="169">
        <v>1</v>
      </c>
      <c r="L399" s="169">
        <v>9</v>
      </c>
      <c r="M399" s="169">
        <f>SUM(M393:M398)</f>
        <v>14</v>
      </c>
      <c r="N399" s="169">
        <f>SUM(N393:N398)</f>
        <v>42</v>
      </c>
      <c r="O399" s="169">
        <v>89</v>
      </c>
      <c r="P399" s="169">
        <v>56</v>
      </c>
      <c r="Q399" s="169">
        <v>24</v>
      </c>
      <c r="R399" s="169">
        <v>0</v>
      </c>
      <c r="S399" s="169">
        <v>6</v>
      </c>
      <c r="T399" s="169">
        <v>9</v>
      </c>
      <c r="U399" s="169">
        <v>6</v>
      </c>
      <c r="V399" s="185">
        <v>0.50617283950617287</v>
      </c>
      <c r="W399" s="185">
        <v>0.1111111111111111</v>
      </c>
      <c r="X399" s="185">
        <v>0.61403508771929827</v>
      </c>
      <c r="Y399" s="185">
        <v>0.25</v>
      </c>
      <c r="Z399" s="186">
        <v>14.149999999999999</v>
      </c>
      <c r="AA399" s="96" t="str">
        <f t="shared" ref="AA399" si="555">AA398</f>
        <v>REG</v>
      </c>
    </row>
    <row r="400" spans="1:27" ht="40" customHeight="1" x14ac:dyDescent="0.2">
      <c r="A400" s="96" t="s">
        <v>38</v>
      </c>
      <c r="B400" s="96">
        <f t="shared" ref="B400" si="556">B399</f>
        <v>5</v>
      </c>
      <c r="C400" s="96">
        <f>C399</f>
        <v>11</v>
      </c>
      <c r="D400" s="163" t="s">
        <v>22</v>
      </c>
      <c r="E400" s="163"/>
      <c r="F400" s="163"/>
      <c r="G400" s="163"/>
      <c r="H400" s="165"/>
      <c r="I400" s="163"/>
      <c r="J400" s="163"/>
      <c r="K400" s="163"/>
      <c r="L400" s="163"/>
      <c r="O400" s="163">
        <v>50</v>
      </c>
      <c r="P400" s="163"/>
      <c r="Q400" s="163"/>
      <c r="R400" s="163"/>
      <c r="S400" s="163"/>
      <c r="T400" s="163"/>
      <c r="U400" s="163"/>
      <c r="V400" s="163"/>
      <c r="W400" s="163"/>
      <c r="X400" s="163"/>
      <c r="Y400" s="163"/>
      <c r="Z400" s="163"/>
      <c r="AA400" s="98" t="str">
        <f>AA399</f>
        <v>REG</v>
      </c>
    </row>
    <row r="401" spans="1:27" ht="40" customHeight="1" x14ac:dyDescent="0.2">
      <c r="A401" s="96" t="str">
        <f>D408</f>
        <v>PANTHERS 2</v>
      </c>
      <c r="B401" s="96">
        <v>5</v>
      </c>
      <c r="C401" s="96">
        <f>C393+1</f>
        <v>12</v>
      </c>
      <c r="D401" s="128" t="s">
        <v>40</v>
      </c>
      <c r="E401" s="143">
        <v>8</v>
      </c>
      <c r="F401" s="143">
        <v>14</v>
      </c>
      <c r="G401" s="143">
        <v>1</v>
      </c>
      <c r="H401" s="143">
        <v>6</v>
      </c>
      <c r="I401" s="143">
        <v>9</v>
      </c>
      <c r="J401" s="143">
        <v>20</v>
      </c>
      <c r="K401" s="143">
        <v>0</v>
      </c>
      <c r="L401" s="143">
        <v>0</v>
      </c>
      <c r="M401" s="143">
        <v>2</v>
      </c>
      <c r="N401" s="143">
        <v>4</v>
      </c>
      <c r="O401" s="143">
        <v>19</v>
      </c>
      <c r="P401" s="143">
        <v>6</v>
      </c>
      <c r="Q401" s="143">
        <v>2</v>
      </c>
      <c r="R401" s="143">
        <v>0</v>
      </c>
      <c r="S401" s="143">
        <v>0</v>
      </c>
      <c r="T401" s="143">
        <v>1</v>
      </c>
      <c r="U401" s="143">
        <v>1</v>
      </c>
      <c r="V401" s="144">
        <v>0.45</v>
      </c>
      <c r="W401" s="144">
        <v>0</v>
      </c>
      <c r="X401" s="144">
        <v>0.5714285714285714</v>
      </c>
      <c r="Y401" s="144">
        <v>0.16666666666666666</v>
      </c>
      <c r="Z401" s="145">
        <v>11.600000000000001</v>
      </c>
      <c r="AA401" s="98" t="s">
        <v>33</v>
      </c>
    </row>
    <row r="402" spans="1:27" ht="40" customHeight="1" x14ac:dyDescent="0.2">
      <c r="A402" s="96" t="str">
        <f>A401</f>
        <v>PANTHERS 2</v>
      </c>
      <c r="B402" s="96">
        <f>B401</f>
        <v>5</v>
      </c>
      <c r="C402" s="96">
        <f>C401</f>
        <v>12</v>
      </c>
      <c r="D402" s="128" t="s">
        <v>48</v>
      </c>
      <c r="E402" s="146">
        <v>4</v>
      </c>
      <c r="F402" s="146">
        <v>11</v>
      </c>
      <c r="G402" s="146">
        <v>0</v>
      </c>
      <c r="H402" s="146">
        <v>5</v>
      </c>
      <c r="I402" s="146">
        <v>4</v>
      </c>
      <c r="J402" s="146">
        <v>16</v>
      </c>
      <c r="K402" s="146">
        <v>3</v>
      </c>
      <c r="L402" s="146">
        <v>4</v>
      </c>
      <c r="M402" s="146">
        <v>1</v>
      </c>
      <c r="N402" s="146">
        <v>4</v>
      </c>
      <c r="O402" s="146">
        <v>11</v>
      </c>
      <c r="P402" s="146">
        <v>5</v>
      </c>
      <c r="Q402" s="146">
        <v>4</v>
      </c>
      <c r="R402" s="146">
        <v>1</v>
      </c>
      <c r="S402" s="146">
        <v>1</v>
      </c>
      <c r="T402" s="146">
        <v>3</v>
      </c>
      <c r="U402" s="146">
        <v>1</v>
      </c>
      <c r="V402" s="147">
        <v>0.25</v>
      </c>
      <c r="W402" s="147">
        <v>0.75</v>
      </c>
      <c r="X402" s="147">
        <v>0.36363636363636365</v>
      </c>
      <c r="Y402" s="147">
        <v>0</v>
      </c>
      <c r="Z402" s="148">
        <v>4.5999999999999996</v>
      </c>
      <c r="AA402" s="98" t="str">
        <f>AA401</f>
        <v>REG</v>
      </c>
    </row>
    <row r="403" spans="1:27" ht="40" customHeight="1" x14ac:dyDescent="0.2">
      <c r="A403" s="96" t="str">
        <f>A402</f>
        <v>PANTHERS 2</v>
      </c>
      <c r="B403" s="96">
        <f t="shared" ref="B403:C404" si="557">B402</f>
        <v>5</v>
      </c>
      <c r="C403" s="96">
        <f t="shared" si="557"/>
        <v>12</v>
      </c>
      <c r="D403" s="128" t="s">
        <v>47</v>
      </c>
      <c r="E403" s="149">
        <v>2</v>
      </c>
      <c r="F403" s="149">
        <v>5</v>
      </c>
      <c r="G403" s="149">
        <v>1</v>
      </c>
      <c r="H403" s="149">
        <v>5</v>
      </c>
      <c r="I403" s="149">
        <v>3</v>
      </c>
      <c r="J403" s="149">
        <v>10</v>
      </c>
      <c r="K403" s="149">
        <v>0</v>
      </c>
      <c r="L403" s="149">
        <v>0</v>
      </c>
      <c r="M403" s="149">
        <v>0</v>
      </c>
      <c r="N403" s="149">
        <v>1</v>
      </c>
      <c r="O403" s="149">
        <v>7</v>
      </c>
      <c r="P403" s="149">
        <v>1</v>
      </c>
      <c r="Q403" s="149">
        <v>1</v>
      </c>
      <c r="R403" s="149">
        <v>0</v>
      </c>
      <c r="S403" s="149">
        <v>1</v>
      </c>
      <c r="T403" s="149">
        <v>1</v>
      </c>
      <c r="U403" s="149">
        <v>1</v>
      </c>
      <c r="V403" s="150">
        <v>0.3</v>
      </c>
      <c r="W403" s="150">
        <v>0</v>
      </c>
      <c r="X403" s="150">
        <v>0.4</v>
      </c>
      <c r="Y403" s="150">
        <v>0.2</v>
      </c>
      <c r="Z403" s="151">
        <v>1.9999999999999996</v>
      </c>
      <c r="AA403" s="98" t="str">
        <f>AA402</f>
        <v>REG</v>
      </c>
    </row>
    <row r="404" spans="1:27" ht="40" customHeight="1" x14ac:dyDescent="0.2">
      <c r="A404" s="96" t="str">
        <f>A403</f>
        <v>PANTHERS 2</v>
      </c>
      <c r="B404" s="96">
        <f t="shared" si="557"/>
        <v>5</v>
      </c>
      <c r="C404" s="96">
        <f t="shared" si="557"/>
        <v>12</v>
      </c>
      <c r="D404" s="128" t="s">
        <v>94</v>
      </c>
      <c r="E404" s="175">
        <v>3</v>
      </c>
      <c r="F404" s="175">
        <v>7</v>
      </c>
      <c r="G404" s="175">
        <v>0</v>
      </c>
      <c r="H404" s="175">
        <v>1</v>
      </c>
      <c r="I404" s="175">
        <v>3</v>
      </c>
      <c r="J404" s="175">
        <v>8</v>
      </c>
      <c r="K404" s="175">
        <v>1</v>
      </c>
      <c r="L404" s="175">
        <v>1</v>
      </c>
      <c r="M404" s="175">
        <v>2</v>
      </c>
      <c r="N404" s="175">
        <v>4</v>
      </c>
      <c r="O404" s="175">
        <v>7</v>
      </c>
      <c r="P404" s="175">
        <v>6</v>
      </c>
      <c r="Q404" s="175">
        <v>2</v>
      </c>
      <c r="R404" s="175">
        <v>0</v>
      </c>
      <c r="S404" s="175">
        <v>1</v>
      </c>
      <c r="T404" s="175">
        <v>0</v>
      </c>
      <c r="U404" s="175">
        <v>4</v>
      </c>
      <c r="V404" s="176">
        <v>0.375</v>
      </c>
      <c r="W404" s="176">
        <v>1</v>
      </c>
      <c r="X404" s="176">
        <v>0.42857142857142855</v>
      </c>
      <c r="Y404" s="176">
        <v>0</v>
      </c>
      <c r="Z404" s="177">
        <v>6.4</v>
      </c>
      <c r="AA404" s="98" t="str">
        <f>AA403</f>
        <v>REG</v>
      </c>
    </row>
    <row r="405" spans="1:27" ht="40" customHeight="1" x14ac:dyDescent="0.2">
      <c r="A405" s="96" t="str">
        <f>A404</f>
        <v>PANTHERS 2</v>
      </c>
      <c r="B405" s="96">
        <f t="shared" ref="B405" si="558">B404</f>
        <v>5</v>
      </c>
      <c r="C405" s="96">
        <f>C404</f>
        <v>12</v>
      </c>
      <c r="D405" s="128" t="s">
        <v>95</v>
      </c>
      <c r="E405" s="179">
        <v>2</v>
      </c>
      <c r="F405" s="179">
        <v>4</v>
      </c>
      <c r="G405" s="179">
        <v>0</v>
      </c>
      <c r="H405" s="179">
        <v>2</v>
      </c>
      <c r="I405" s="179">
        <v>2</v>
      </c>
      <c r="J405" s="179">
        <v>6</v>
      </c>
      <c r="K405" s="179">
        <v>0</v>
      </c>
      <c r="L405" s="179">
        <v>0</v>
      </c>
      <c r="M405" s="179">
        <v>1</v>
      </c>
      <c r="N405" s="179">
        <v>5</v>
      </c>
      <c r="O405" s="179">
        <v>4</v>
      </c>
      <c r="P405" s="179">
        <v>6</v>
      </c>
      <c r="Q405" s="179">
        <v>1</v>
      </c>
      <c r="R405" s="179">
        <v>1</v>
      </c>
      <c r="S405" s="179">
        <v>0</v>
      </c>
      <c r="T405" s="179">
        <v>3</v>
      </c>
      <c r="U405" s="179">
        <v>5</v>
      </c>
      <c r="V405" s="180">
        <v>0.33333333333333331</v>
      </c>
      <c r="W405" s="180">
        <v>0</v>
      </c>
      <c r="X405" s="180">
        <v>0.5</v>
      </c>
      <c r="Y405" s="180">
        <v>0</v>
      </c>
      <c r="Z405" s="181">
        <v>0</v>
      </c>
      <c r="AA405" s="98" t="str">
        <f>AA404</f>
        <v>REG</v>
      </c>
    </row>
    <row r="406" spans="1:27" ht="40" customHeight="1" x14ac:dyDescent="0.2">
      <c r="A406" s="96" t="str">
        <f>A405</f>
        <v>PANTHERS 2</v>
      </c>
      <c r="B406" s="96">
        <f t="shared" ref="B406" si="559">B405</f>
        <v>5</v>
      </c>
      <c r="C406" s="96">
        <f>C405</f>
        <v>12</v>
      </c>
      <c r="D406" s="128" t="s">
        <v>96</v>
      </c>
      <c r="E406" s="182">
        <v>1</v>
      </c>
      <c r="F406" s="182">
        <v>1</v>
      </c>
      <c r="G406" s="182">
        <v>0</v>
      </c>
      <c r="H406" s="182">
        <v>0</v>
      </c>
      <c r="I406" s="182">
        <v>1</v>
      </c>
      <c r="J406" s="182">
        <v>1</v>
      </c>
      <c r="K406" s="182">
        <v>1</v>
      </c>
      <c r="L406" s="182">
        <v>4</v>
      </c>
      <c r="M406" s="182">
        <v>1</v>
      </c>
      <c r="N406" s="182">
        <v>1</v>
      </c>
      <c r="O406" s="182">
        <v>3</v>
      </c>
      <c r="P406" s="182">
        <v>2</v>
      </c>
      <c r="Q406" s="182">
        <v>0</v>
      </c>
      <c r="R406" s="182">
        <v>0</v>
      </c>
      <c r="S406" s="182">
        <v>1</v>
      </c>
      <c r="T406" s="182">
        <v>2</v>
      </c>
      <c r="U406" s="182">
        <v>1</v>
      </c>
      <c r="V406" s="183">
        <v>1</v>
      </c>
      <c r="W406" s="183">
        <v>0.25</v>
      </c>
      <c r="X406" s="183">
        <v>1</v>
      </c>
      <c r="Y406" s="183">
        <v>0</v>
      </c>
      <c r="Z406" s="184">
        <v>1.1000000000000001</v>
      </c>
      <c r="AA406" s="100" t="str">
        <f>AA405</f>
        <v>REG</v>
      </c>
    </row>
    <row r="407" spans="1:27" ht="40" customHeight="1" x14ac:dyDescent="0.2">
      <c r="A407" s="96" t="str">
        <f>A406</f>
        <v>PANTHERS 2</v>
      </c>
      <c r="B407" s="96">
        <f t="shared" ref="B407:C407" si="560">B406</f>
        <v>5</v>
      </c>
      <c r="C407" s="96">
        <f t="shared" si="560"/>
        <v>12</v>
      </c>
      <c r="D407" s="128" t="s">
        <v>31</v>
      </c>
      <c r="E407" s="169">
        <v>20</v>
      </c>
      <c r="F407" s="169">
        <v>42</v>
      </c>
      <c r="G407" s="169">
        <v>2</v>
      </c>
      <c r="H407" s="169">
        <v>19</v>
      </c>
      <c r="I407" s="169">
        <v>22</v>
      </c>
      <c r="J407" s="169">
        <v>61</v>
      </c>
      <c r="K407" s="169">
        <v>5</v>
      </c>
      <c r="L407" s="169">
        <v>9</v>
      </c>
      <c r="M407" s="169">
        <f>SUM(M401:M406)</f>
        <v>7</v>
      </c>
      <c r="N407" s="169">
        <f>SUM(N401:N406)</f>
        <v>19</v>
      </c>
      <c r="O407" s="169">
        <v>51</v>
      </c>
      <c r="P407" s="169">
        <v>26</v>
      </c>
      <c r="Q407" s="169">
        <v>10</v>
      </c>
      <c r="R407" s="169">
        <v>2</v>
      </c>
      <c r="S407" s="169">
        <v>4</v>
      </c>
      <c r="T407" s="169">
        <v>10</v>
      </c>
      <c r="U407" s="169">
        <v>13</v>
      </c>
      <c r="V407" s="185">
        <v>0.36065573770491804</v>
      </c>
      <c r="W407" s="185">
        <v>0.55555555555555558</v>
      </c>
      <c r="X407" s="185">
        <v>0.47619047619047616</v>
      </c>
      <c r="Y407" s="185">
        <v>0.10526315789473684</v>
      </c>
      <c r="Z407" s="186">
        <v>4.2833333333333341</v>
      </c>
      <c r="AA407" s="96" t="str">
        <f t="shared" ref="AA407" si="561">AA406</f>
        <v>REG</v>
      </c>
    </row>
    <row r="408" spans="1:27" ht="40" customHeight="1" x14ac:dyDescent="0.2">
      <c r="A408" s="96" t="s">
        <v>38</v>
      </c>
      <c r="B408" s="96">
        <f t="shared" ref="B408" si="562">B407</f>
        <v>5</v>
      </c>
      <c r="C408" s="96">
        <f>C407</f>
        <v>12</v>
      </c>
      <c r="D408" s="163" t="s">
        <v>39</v>
      </c>
      <c r="E408" s="163"/>
      <c r="F408" s="163"/>
      <c r="G408" s="163"/>
      <c r="H408" s="164"/>
      <c r="I408" s="163"/>
      <c r="J408" s="163"/>
      <c r="K408" s="163"/>
      <c r="L408" s="163"/>
      <c r="O408" s="163">
        <v>88</v>
      </c>
      <c r="P408" s="163"/>
      <c r="Q408" s="163"/>
      <c r="R408" s="163"/>
      <c r="S408" s="163"/>
      <c r="T408" s="163"/>
      <c r="U408" s="163"/>
      <c r="V408" s="163"/>
      <c r="W408" s="163"/>
      <c r="X408" s="163"/>
      <c r="Y408" s="163"/>
      <c r="Z408" s="163"/>
      <c r="AA408" s="98" t="str">
        <f>AA407</f>
        <v>REG</v>
      </c>
    </row>
    <row r="409" spans="1:27" ht="40" customHeight="1" x14ac:dyDescent="0.2">
      <c r="A409" s="96" t="str">
        <f>D415</f>
        <v>MAGIC 1</v>
      </c>
      <c r="B409" s="96">
        <v>5</v>
      </c>
      <c r="C409" s="96">
        <f>C401+1</f>
        <v>13</v>
      </c>
      <c r="D409" s="128" t="s">
        <v>40</v>
      </c>
      <c r="E409" s="143">
        <v>11</v>
      </c>
      <c r="F409" s="143">
        <v>18</v>
      </c>
      <c r="G409" s="143">
        <v>1</v>
      </c>
      <c r="H409" s="143">
        <v>5</v>
      </c>
      <c r="I409" s="143">
        <v>12</v>
      </c>
      <c r="J409" s="143">
        <v>23</v>
      </c>
      <c r="K409" s="143">
        <v>0</v>
      </c>
      <c r="L409" s="143">
        <v>1</v>
      </c>
      <c r="M409" s="143">
        <v>7</v>
      </c>
      <c r="N409" s="143">
        <v>11</v>
      </c>
      <c r="O409" s="143">
        <v>25</v>
      </c>
      <c r="P409" s="143">
        <v>18</v>
      </c>
      <c r="Q409" s="143">
        <v>5</v>
      </c>
      <c r="R409" s="143">
        <v>0</v>
      </c>
      <c r="S409" s="143">
        <v>1</v>
      </c>
      <c r="T409" s="143">
        <v>2</v>
      </c>
      <c r="U409" s="143">
        <v>2</v>
      </c>
      <c r="V409" s="144">
        <v>0.52173913043478259</v>
      </c>
      <c r="W409" s="144">
        <v>0</v>
      </c>
      <c r="X409" s="144">
        <v>0.61111111111111116</v>
      </c>
      <c r="Y409" s="144">
        <v>0.2</v>
      </c>
      <c r="Z409" s="145">
        <v>24.000000000000004</v>
      </c>
      <c r="AA409" s="98" t="s">
        <v>34</v>
      </c>
    </row>
    <row r="410" spans="1:27" ht="40" customHeight="1" x14ac:dyDescent="0.2">
      <c r="A410" s="96" t="str">
        <f>A409</f>
        <v>MAGIC 1</v>
      </c>
      <c r="B410" s="96">
        <f>B409</f>
        <v>5</v>
      </c>
      <c r="C410" s="96">
        <f>C409</f>
        <v>13</v>
      </c>
      <c r="D410" s="128" t="s">
        <v>48</v>
      </c>
      <c r="E410" s="146">
        <v>5</v>
      </c>
      <c r="F410" s="146">
        <v>13</v>
      </c>
      <c r="G410" s="146">
        <v>1</v>
      </c>
      <c r="H410" s="146">
        <v>5</v>
      </c>
      <c r="I410" s="146">
        <v>6</v>
      </c>
      <c r="J410" s="146">
        <v>18</v>
      </c>
      <c r="K410" s="146">
        <v>0</v>
      </c>
      <c r="L410" s="146">
        <v>0</v>
      </c>
      <c r="M410" s="146">
        <v>1</v>
      </c>
      <c r="N410" s="146">
        <v>4</v>
      </c>
      <c r="O410" s="146">
        <v>13</v>
      </c>
      <c r="P410" s="146">
        <v>5</v>
      </c>
      <c r="Q410" s="146">
        <v>3</v>
      </c>
      <c r="R410" s="146">
        <v>1</v>
      </c>
      <c r="S410" s="146">
        <v>0</v>
      </c>
      <c r="T410" s="146">
        <v>3</v>
      </c>
      <c r="U410" s="146">
        <v>1</v>
      </c>
      <c r="V410" s="147">
        <v>0.33333333333333331</v>
      </c>
      <c r="W410" s="147">
        <v>0</v>
      </c>
      <c r="X410" s="147">
        <v>0.38461538461538464</v>
      </c>
      <c r="Y410" s="147">
        <v>0.2</v>
      </c>
      <c r="Z410" s="148">
        <v>4.6999999999999993</v>
      </c>
      <c r="AA410" s="98" t="str">
        <f>AA409</f>
        <v>FINAL</v>
      </c>
    </row>
    <row r="411" spans="1:27" ht="40" customHeight="1" x14ac:dyDescent="0.2">
      <c r="A411" s="96" t="str">
        <f>A410</f>
        <v>MAGIC 1</v>
      </c>
      <c r="B411" s="96">
        <f t="shared" ref="B411:C411" si="563">B410</f>
        <v>5</v>
      </c>
      <c r="C411" s="96">
        <f t="shared" si="563"/>
        <v>13</v>
      </c>
      <c r="D411" s="128" t="s">
        <v>47</v>
      </c>
      <c r="E411" s="149">
        <v>2</v>
      </c>
      <c r="F411" s="149">
        <v>4</v>
      </c>
      <c r="G411" s="149">
        <v>1</v>
      </c>
      <c r="H411" s="149">
        <v>3</v>
      </c>
      <c r="I411" s="149">
        <v>3</v>
      </c>
      <c r="J411" s="149">
        <v>7</v>
      </c>
      <c r="K411" s="149">
        <v>0</v>
      </c>
      <c r="L411" s="149">
        <v>2</v>
      </c>
      <c r="M411" s="149">
        <v>0</v>
      </c>
      <c r="N411" s="149">
        <v>4</v>
      </c>
      <c r="O411" s="149">
        <v>7</v>
      </c>
      <c r="P411" s="149">
        <v>4</v>
      </c>
      <c r="Q411" s="149">
        <v>7</v>
      </c>
      <c r="R411" s="149">
        <v>0</v>
      </c>
      <c r="S411" s="149">
        <v>3</v>
      </c>
      <c r="T411" s="149">
        <v>1</v>
      </c>
      <c r="U411" s="149">
        <v>4</v>
      </c>
      <c r="V411" s="150">
        <v>0.42857142857142855</v>
      </c>
      <c r="W411" s="150">
        <v>0</v>
      </c>
      <c r="X411" s="150">
        <v>0.5</v>
      </c>
      <c r="Y411" s="150">
        <v>0.33333333333333331</v>
      </c>
      <c r="Z411" s="151">
        <v>9.7999999999999989</v>
      </c>
      <c r="AA411" s="98" t="str">
        <f>AA410</f>
        <v>FINAL</v>
      </c>
    </row>
    <row r="412" spans="1:27" ht="40" customHeight="1" x14ac:dyDescent="0.2">
      <c r="A412" s="96" t="str">
        <f>A410</f>
        <v>MAGIC 1</v>
      </c>
      <c r="B412" s="96">
        <f t="shared" ref="B412:B414" si="564">B411</f>
        <v>5</v>
      </c>
      <c r="C412" s="96">
        <f>C410</f>
        <v>13</v>
      </c>
      <c r="D412" s="128" t="s">
        <v>93</v>
      </c>
      <c r="E412" s="172">
        <v>4</v>
      </c>
      <c r="F412" s="172">
        <v>7</v>
      </c>
      <c r="G412" s="172">
        <v>0</v>
      </c>
      <c r="H412" s="172">
        <v>1</v>
      </c>
      <c r="I412" s="172">
        <v>4</v>
      </c>
      <c r="J412" s="172">
        <v>8</v>
      </c>
      <c r="K412" s="172">
        <v>0</v>
      </c>
      <c r="L412" s="172">
        <v>1</v>
      </c>
      <c r="M412" s="172">
        <v>2</v>
      </c>
      <c r="N412" s="172">
        <v>4</v>
      </c>
      <c r="O412" s="172">
        <v>8</v>
      </c>
      <c r="P412" s="172">
        <v>5</v>
      </c>
      <c r="Q412" s="172">
        <v>7</v>
      </c>
      <c r="R412" s="172">
        <v>0</v>
      </c>
      <c r="S412" s="172">
        <v>0</v>
      </c>
      <c r="T412" s="172">
        <v>3</v>
      </c>
      <c r="U412" s="172">
        <v>1</v>
      </c>
      <c r="V412" s="173">
        <v>0.5</v>
      </c>
      <c r="W412" s="173">
        <v>0</v>
      </c>
      <c r="X412" s="173">
        <v>0.5714285714285714</v>
      </c>
      <c r="Y412" s="173">
        <v>0</v>
      </c>
      <c r="Z412" s="174">
        <v>7.6</v>
      </c>
      <c r="AA412" s="98" t="str">
        <f>AA410</f>
        <v>FINAL</v>
      </c>
    </row>
    <row r="413" spans="1:27" ht="40" customHeight="1" x14ac:dyDescent="0.2">
      <c r="A413" s="96" t="str">
        <f>A411</f>
        <v>MAGIC 1</v>
      </c>
      <c r="B413" s="96">
        <f t="shared" si="564"/>
        <v>5</v>
      </c>
      <c r="C413" s="96">
        <f>C411</f>
        <v>13</v>
      </c>
      <c r="D413" s="128" t="s">
        <v>95</v>
      </c>
      <c r="E413" s="179">
        <v>8</v>
      </c>
      <c r="F413" s="179">
        <v>12</v>
      </c>
      <c r="G413" s="179">
        <v>0</v>
      </c>
      <c r="H413" s="179">
        <v>1</v>
      </c>
      <c r="I413" s="179">
        <v>8</v>
      </c>
      <c r="J413" s="179">
        <v>13</v>
      </c>
      <c r="K413" s="179">
        <v>2</v>
      </c>
      <c r="L413" s="179">
        <v>2</v>
      </c>
      <c r="M413" s="179">
        <v>4</v>
      </c>
      <c r="N413" s="179">
        <v>9</v>
      </c>
      <c r="O413" s="179">
        <v>18</v>
      </c>
      <c r="P413" s="179">
        <v>13</v>
      </c>
      <c r="Q413" s="179">
        <v>3</v>
      </c>
      <c r="R413" s="179">
        <v>0</v>
      </c>
      <c r="S413" s="179">
        <v>0</v>
      </c>
      <c r="T413" s="179">
        <v>4</v>
      </c>
      <c r="U413" s="179">
        <v>3</v>
      </c>
      <c r="V413" s="180">
        <v>0.61538461538461542</v>
      </c>
      <c r="W413" s="180">
        <v>1</v>
      </c>
      <c r="X413" s="180">
        <v>0.66666666666666663</v>
      </c>
      <c r="Y413" s="180">
        <v>0</v>
      </c>
      <c r="Z413" s="181">
        <v>15.500000000000004</v>
      </c>
      <c r="AA413" s="98" t="str">
        <f>AA412</f>
        <v>FINAL</v>
      </c>
    </row>
    <row r="414" spans="1:27" ht="40" customHeight="1" x14ac:dyDescent="0.2">
      <c r="A414" s="96" t="str">
        <f>A412</f>
        <v>MAGIC 1</v>
      </c>
      <c r="B414" s="96">
        <f t="shared" si="564"/>
        <v>5</v>
      </c>
      <c r="C414" s="96">
        <f>C412</f>
        <v>13</v>
      </c>
      <c r="D414" s="128" t="s">
        <v>31</v>
      </c>
      <c r="E414" s="169">
        <v>30</v>
      </c>
      <c r="F414" s="169">
        <v>54</v>
      </c>
      <c r="G414" s="169">
        <v>3</v>
      </c>
      <c r="H414" s="169">
        <v>15</v>
      </c>
      <c r="I414" s="169">
        <v>33</v>
      </c>
      <c r="J414" s="169">
        <v>69</v>
      </c>
      <c r="K414" s="169">
        <v>2</v>
      </c>
      <c r="L414" s="169">
        <v>6</v>
      </c>
      <c r="M414" s="169">
        <f>SUM(M409:M413)</f>
        <v>14</v>
      </c>
      <c r="N414" s="169">
        <f>SUM(N409:N413)</f>
        <v>32</v>
      </c>
      <c r="O414" s="169">
        <v>71</v>
      </c>
      <c r="P414" s="169">
        <v>45</v>
      </c>
      <c r="Q414" s="169">
        <v>25</v>
      </c>
      <c r="R414" s="169">
        <v>1</v>
      </c>
      <c r="S414" s="169">
        <v>4</v>
      </c>
      <c r="T414" s="169">
        <v>13</v>
      </c>
      <c r="U414" s="169">
        <v>11</v>
      </c>
      <c r="V414" s="185">
        <v>0.47826086956521741</v>
      </c>
      <c r="W414" s="185">
        <v>0.33333333333333331</v>
      </c>
      <c r="X414" s="185">
        <v>0.55555555555555558</v>
      </c>
      <c r="Y414" s="185">
        <v>0.2</v>
      </c>
      <c r="Z414" s="186">
        <v>12.320000000000002</v>
      </c>
      <c r="AA414" s="100" t="str">
        <f>AA413</f>
        <v>FINAL</v>
      </c>
    </row>
    <row r="415" spans="1:27" ht="40" customHeight="1" x14ac:dyDescent="0.2">
      <c r="A415" s="96" t="s">
        <v>38</v>
      </c>
      <c r="B415" s="96">
        <f t="shared" ref="B415" si="565">B414</f>
        <v>5</v>
      </c>
      <c r="C415" s="96">
        <f>C414</f>
        <v>13</v>
      </c>
      <c r="D415" s="163" t="s">
        <v>35</v>
      </c>
      <c r="E415" s="163"/>
      <c r="F415" s="163"/>
      <c r="G415" s="165"/>
      <c r="H415" s="163"/>
      <c r="I415" s="163"/>
      <c r="J415" s="163"/>
      <c r="K415" s="163"/>
      <c r="L415" s="163"/>
      <c r="O415" s="163">
        <v>68</v>
      </c>
      <c r="P415" s="163"/>
      <c r="Q415" s="163"/>
      <c r="R415" s="163"/>
      <c r="S415" s="163"/>
      <c r="T415" s="163"/>
      <c r="U415" s="163"/>
      <c r="V415" s="163"/>
      <c r="W415" s="163"/>
      <c r="X415" s="163"/>
      <c r="Y415" s="163"/>
      <c r="Z415" s="163"/>
      <c r="AA415" s="98" t="str">
        <f>AA414</f>
        <v>FINAL</v>
      </c>
    </row>
    <row r="416" spans="1:27" ht="40" customHeight="1" x14ac:dyDescent="0.2">
      <c r="A416" s="96" t="str">
        <f>D423</f>
        <v>SAINTS</v>
      </c>
      <c r="B416" s="96">
        <v>5</v>
      </c>
      <c r="C416" s="96">
        <f>C409+1</f>
        <v>14</v>
      </c>
      <c r="D416" s="128" t="s">
        <v>40</v>
      </c>
      <c r="E416" s="143">
        <v>0</v>
      </c>
      <c r="F416" s="143">
        <v>4</v>
      </c>
      <c r="G416" s="143">
        <v>3</v>
      </c>
      <c r="H416" s="143">
        <v>7</v>
      </c>
      <c r="I416" s="143">
        <v>3</v>
      </c>
      <c r="J416" s="143">
        <v>11</v>
      </c>
      <c r="K416" s="143">
        <v>0</v>
      </c>
      <c r="L416" s="143">
        <v>6</v>
      </c>
      <c r="M416" s="143">
        <v>2</v>
      </c>
      <c r="N416" s="143">
        <v>4</v>
      </c>
      <c r="O416" s="143">
        <v>9</v>
      </c>
      <c r="P416" s="143">
        <v>6</v>
      </c>
      <c r="Q416" s="143">
        <v>7</v>
      </c>
      <c r="R416" s="143">
        <v>0</v>
      </c>
      <c r="S416" s="143">
        <v>2</v>
      </c>
      <c r="T416" s="143">
        <v>5</v>
      </c>
      <c r="U416" s="143">
        <v>1</v>
      </c>
      <c r="V416" s="144">
        <v>0.27272727272727271</v>
      </c>
      <c r="W416" s="144">
        <v>0.66666666666666663</v>
      </c>
      <c r="X416" s="144">
        <v>0</v>
      </c>
      <c r="Y416" s="144">
        <v>0.42857142857142855</v>
      </c>
      <c r="Z416" s="145">
        <v>4.5999999999999996</v>
      </c>
      <c r="AA416" s="98" t="s">
        <v>34</v>
      </c>
    </row>
    <row r="417" spans="1:27" ht="40" customHeight="1" x14ac:dyDescent="0.2">
      <c r="A417" s="96" t="str">
        <f>A416</f>
        <v>SAINTS</v>
      </c>
      <c r="B417" s="96">
        <f>B416</f>
        <v>5</v>
      </c>
      <c r="C417" s="96">
        <f>C416</f>
        <v>14</v>
      </c>
      <c r="D417" s="128" t="s">
        <v>48</v>
      </c>
      <c r="E417" s="146">
        <v>1</v>
      </c>
      <c r="F417" s="146">
        <v>7</v>
      </c>
      <c r="G417" s="146">
        <v>3</v>
      </c>
      <c r="H417" s="146">
        <v>6</v>
      </c>
      <c r="I417" s="146">
        <v>4</v>
      </c>
      <c r="J417" s="146">
        <v>13</v>
      </c>
      <c r="K417" s="146">
        <v>0</v>
      </c>
      <c r="L417" s="146">
        <v>2</v>
      </c>
      <c r="M417" s="146">
        <v>0</v>
      </c>
      <c r="N417" s="146">
        <v>4</v>
      </c>
      <c r="O417" s="146">
        <v>11</v>
      </c>
      <c r="P417" s="146">
        <v>4</v>
      </c>
      <c r="Q417" s="146">
        <v>1</v>
      </c>
      <c r="R417" s="146">
        <v>0</v>
      </c>
      <c r="S417" s="146">
        <v>1</v>
      </c>
      <c r="T417" s="146">
        <v>1</v>
      </c>
      <c r="U417" s="146">
        <v>5</v>
      </c>
      <c r="V417" s="147">
        <v>0.30769230769230771</v>
      </c>
      <c r="W417" s="147">
        <v>0.18181818181818182</v>
      </c>
      <c r="X417" s="147">
        <v>0.14285714285714285</v>
      </c>
      <c r="Y417" s="147">
        <v>0.5</v>
      </c>
      <c r="Z417" s="148">
        <v>3.4000000000000004</v>
      </c>
      <c r="AA417" s="98" t="str">
        <f>AA416</f>
        <v>FINAL</v>
      </c>
    </row>
    <row r="418" spans="1:27" ht="40" customHeight="1" x14ac:dyDescent="0.2">
      <c r="A418" s="96" t="str">
        <f>A417</f>
        <v>SAINTS</v>
      </c>
      <c r="B418" s="96">
        <f t="shared" ref="B418:C418" si="566">B417</f>
        <v>5</v>
      </c>
      <c r="C418" s="96">
        <f t="shared" si="566"/>
        <v>14</v>
      </c>
      <c r="D418" s="128" t="s">
        <v>47</v>
      </c>
      <c r="E418" s="149">
        <v>0</v>
      </c>
      <c r="F418" s="149">
        <v>1</v>
      </c>
      <c r="G418" s="149">
        <v>1</v>
      </c>
      <c r="H418" s="149">
        <v>2</v>
      </c>
      <c r="I418" s="149">
        <v>1</v>
      </c>
      <c r="J418" s="149">
        <v>3</v>
      </c>
      <c r="K418" s="149">
        <v>0</v>
      </c>
      <c r="L418" s="149">
        <v>2</v>
      </c>
      <c r="M418" s="149">
        <v>0</v>
      </c>
      <c r="N418" s="149">
        <v>2</v>
      </c>
      <c r="O418" s="149">
        <v>3</v>
      </c>
      <c r="P418" s="149">
        <v>2</v>
      </c>
      <c r="Q418" s="149">
        <v>1</v>
      </c>
      <c r="R418" s="149">
        <v>0</v>
      </c>
      <c r="S418" s="149">
        <v>3</v>
      </c>
      <c r="T418" s="149">
        <v>2</v>
      </c>
      <c r="U418" s="149">
        <v>0</v>
      </c>
      <c r="V418" s="150">
        <v>0.33333333333333331</v>
      </c>
      <c r="W418" s="150">
        <v>0.66666666666666663</v>
      </c>
      <c r="X418" s="150">
        <v>0</v>
      </c>
      <c r="Y418" s="150">
        <v>0.5</v>
      </c>
      <c r="Z418" s="151">
        <v>3.2</v>
      </c>
      <c r="AA418" s="98" t="str">
        <f>AA417</f>
        <v>FINAL</v>
      </c>
    </row>
    <row r="419" spans="1:27" ht="40" customHeight="1" x14ac:dyDescent="0.2">
      <c r="A419" s="96" t="str">
        <f>A417</f>
        <v>SAINTS</v>
      </c>
      <c r="B419" s="96">
        <f t="shared" ref="B419" si="567">B418</f>
        <v>5</v>
      </c>
      <c r="C419" s="96">
        <f>C417</f>
        <v>14</v>
      </c>
      <c r="D419" s="128" t="s">
        <v>93</v>
      </c>
      <c r="E419" s="172">
        <v>1</v>
      </c>
      <c r="F419" s="172">
        <v>2</v>
      </c>
      <c r="G419" s="172">
        <v>3</v>
      </c>
      <c r="H419" s="172">
        <v>7</v>
      </c>
      <c r="I419" s="172">
        <v>4</v>
      </c>
      <c r="J419" s="172">
        <v>9</v>
      </c>
      <c r="K419" s="172">
        <v>1</v>
      </c>
      <c r="L419" s="172">
        <v>2</v>
      </c>
      <c r="M419" s="172">
        <v>1</v>
      </c>
      <c r="N419" s="172">
        <v>4</v>
      </c>
      <c r="O419" s="172">
        <v>12</v>
      </c>
      <c r="P419" s="172">
        <v>5</v>
      </c>
      <c r="Q419" s="172">
        <v>4</v>
      </c>
      <c r="R419" s="172">
        <v>0</v>
      </c>
      <c r="S419" s="172">
        <v>1</v>
      </c>
      <c r="T419" s="172">
        <v>2</v>
      </c>
      <c r="U419" s="172">
        <v>2</v>
      </c>
      <c r="V419" s="173">
        <v>0.44444444444444442</v>
      </c>
      <c r="W419" s="173">
        <v>0.16666666666666666</v>
      </c>
      <c r="X419" s="173">
        <v>0.5</v>
      </c>
      <c r="Y419" s="173">
        <v>0.42857142857142855</v>
      </c>
      <c r="Z419" s="174">
        <v>10.399999999999999</v>
      </c>
      <c r="AA419" s="98" t="str">
        <f>AA417</f>
        <v>FINAL</v>
      </c>
    </row>
    <row r="420" spans="1:27" ht="40" customHeight="1" x14ac:dyDescent="0.2">
      <c r="A420" s="96" t="str">
        <f t="shared" ref="A420:C420" si="568">A419</f>
        <v>SAINTS</v>
      </c>
      <c r="B420" s="96">
        <f t="shared" si="568"/>
        <v>5</v>
      </c>
      <c r="C420" s="96">
        <f t="shared" si="568"/>
        <v>14</v>
      </c>
      <c r="D420" s="128" t="s">
        <v>94</v>
      </c>
      <c r="E420" s="175">
        <v>0</v>
      </c>
      <c r="F420" s="175">
        <v>4</v>
      </c>
      <c r="G420" s="175">
        <v>0</v>
      </c>
      <c r="H420" s="175">
        <v>0</v>
      </c>
      <c r="I420" s="175">
        <v>0</v>
      </c>
      <c r="J420" s="175">
        <v>4</v>
      </c>
      <c r="K420" s="175">
        <v>0</v>
      </c>
      <c r="L420" s="175">
        <v>0</v>
      </c>
      <c r="M420" s="175">
        <v>3</v>
      </c>
      <c r="N420" s="175">
        <v>3</v>
      </c>
      <c r="O420" s="175">
        <v>0</v>
      </c>
      <c r="P420" s="175">
        <v>6</v>
      </c>
      <c r="Q420" s="175">
        <v>0</v>
      </c>
      <c r="R420" s="175">
        <v>0</v>
      </c>
      <c r="S420" s="175">
        <v>0</v>
      </c>
      <c r="T420" s="175">
        <v>3</v>
      </c>
      <c r="U420" s="175">
        <v>0</v>
      </c>
      <c r="V420" s="176">
        <v>0</v>
      </c>
      <c r="W420" s="176" t="e">
        <v>#DIV/0!</v>
      </c>
      <c r="X420" s="176">
        <v>0</v>
      </c>
      <c r="Y420" s="176" t="e">
        <v>#DIV/0!</v>
      </c>
      <c r="Z420" s="177">
        <v>-2.8</v>
      </c>
      <c r="AA420" s="98" t="str">
        <f t="shared" ref="AA420" si="569">AA419</f>
        <v>FINAL</v>
      </c>
    </row>
    <row r="421" spans="1:27" ht="40" customHeight="1" x14ac:dyDescent="0.2">
      <c r="A421" s="96" t="str">
        <f>A420</f>
        <v>SAINTS</v>
      </c>
      <c r="B421" s="96">
        <f t="shared" ref="B421:B422" si="570">B420</f>
        <v>5</v>
      </c>
      <c r="C421" s="96">
        <f>C420</f>
        <v>14</v>
      </c>
      <c r="D421" s="128" t="s">
        <v>95</v>
      </c>
      <c r="E421" s="179">
        <v>3</v>
      </c>
      <c r="F421" s="179">
        <v>7</v>
      </c>
      <c r="G421" s="179">
        <v>0</v>
      </c>
      <c r="H421" s="179">
        <v>1</v>
      </c>
      <c r="I421" s="179">
        <v>3</v>
      </c>
      <c r="J421" s="179">
        <v>8</v>
      </c>
      <c r="K421" s="179">
        <v>0</v>
      </c>
      <c r="L421" s="179">
        <v>0</v>
      </c>
      <c r="M421" s="179">
        <v>1</v>
      </c>
      <c r="N421" s="179">
        <v>6</v>
      </c>
      <c r="O421" s="179">
        <v>6</v>
      </c>
      <c r="P421" s="179">
        <v>7</v>
      </c>
      <c r="Q421" s="179">
        <v>0</v>
      </c>
      <c r="R421" s="179">
        <v>1</v>
      </c>
      <c r="S421" s="179">
        <v>0</v>
      </c>
      <c r="T421" s="179">
        <v>4</v>
      </c>
      <c r="U421" s="179">
        <v>4</v>
      </c>
      <c r="V421" s="180">
        <v>0.375</v>
      </c>
      <c r="W421" s="180">
        <v>0</v>
      </c>
      <c r="X421" s="180">
        <v>0.42857142857142855</v>
      </c>
      <c r="Y421" s="180">
        <v>0</v>
      </c>
      <c r="Z421" s="181">
        <v>0.20000000000000107</v>
      </c>
      <c r="AA421" s="98" t="str">
        <f>AA420</f>
        <v>FINAL</v>
      </c>
    </row>
    <row r="422" spans="1:27" ht="40" customHeight="1" x14ac:dyDescent="0.2">
      <c r="A422" s="96" t="str">
        <f>A421</f>
        <v>SAINTS</v>
      </c>
      <c r="B422" s="96">
        <f t="shared" si="570"/>
        <v>5</v>
      </c>
      <c r="C422" s="96">
        <f>C421</f>
        <v>14</v>
      </c>
      <c r="D422" s="128" t="s">
        <v>31</v>
      </c>
      <c r="E422" s="169">
        <v>5</v>
      </c>
      <c r="F422" s="169">
        <v>25</v>
      </c>
      <c r="G422" s="169">
        <v>10</v>
      </c>
      <c r="H422" s="169">
        <v>23</v>
      </c>
      <c r="I422" s="169">
        <v>15</v>
      </c>
      <c r="J422" s="169">
        <v>48</v>
      </c>
      <c r="K422" s="169">
        <v>1</v>
      </c>
      <c r="L422" s="169">
        <v>12</v>
      </c>
      <c r="M422" s="169">
        <f>SUM(M416:M421)</f>
        <v>7</v>
      </c>
      <c r="N422" s="169">
        <f>SUM(N416:N421)</f>
        <v>23</v>
      </c>
      <c r="O422" s="169">
        <v>41</v>
      </c>
      <c r="P422" s="169">
        <v>30</v>
      </c>
      <c r="Q422" s="169">
        <v>13</v>
      </c>
      <c r="R422" s="169">
        <v>1</v>
      </c>
      <c r="S422" s="169">
        <v>7</v>
      </c>
      <c r="T422" s="169">
        <v>17</v>
      </c>
      <c r="U422" s="169">
        <v>12</v>
      </c>
      <c r="V422" s="185">
        <v>0.3125</v>
      </c>
      <c r="W422" s="185">
        <v>8.3333333333333329E-2</v>
      </c>
      <c r="X422" s="185">
        <v>0.2</v>
      </c>
      <c r="Y422" s="185">
        <v>0.43478260869565216</v>
      </c>
      <c r="Z422" s="186">
        <v>3.1666666666666665</v>
      </c>
      <c r="AA422" s="100" t="str">
        <f>AA421</f>
        <v>FINAL</v>
      </c>
    </row>
    <row r="423" spans="1:27" ht="40" customHeight="1" x14ac:dyDescent="0.2">
      <c r="A423" s="96" t="s">
        <v>38</v>
      </c>
      <c r="B423" s="96">
        <f t="shared" ref="B423:D423" si="571">B422</f>
        <v>5</v>
      </c>
      <c r="C423" s="96">
        <f>C422</f>
        <v>14</v>
      </c>
      <c r="D423" s="163" t="s">
        <v>24</v>
      </c>
      <c r="E423" s="163"/>
      <c r="F423" s="163"/>
      <c r="G423" s="164"/>
      <c r="H423" s="163"/>
      <c r="I423" s="163"/>
      <c r="J423" s="163"/>
      <c r="K423" s="163"/>
      <c r="L423" s="163"/>
      <c r="O423" s="163">
        <v>54</v>
      </c>
      <c r="P423" s="163"/>
      <c r="Q423" s="163"/>
      <c r="R423" s="163"/>
      <c r="S423" s="163"/>
      <c r="T423" s="163"/>
      <c r="U423" s="163"/>
      <c r="V423" s="163"/>
      <c r="W423" s="163"/>
      <c r="X423" s="163"/>
      <c r="Y423" s="163"/>
      <c r="Z423" s="163"/>
      <c r="AA423" s="98" t="str">
        <f>AA422</f>
        <v>FINAL</v>
      </c>
    </row>
  </sheetData>
  <hyperlinks>
    <hyperlink ref="D146" r:id="rId1" display="https://www.playhq.com/public/profile/4044fd96-cea3-4b3c-898b-d773b2be83d5/statistics?tenant=basketball-victoria" xr:uid="{078EF327-9026-DD48-9816-72D9B78BEC86}"/>
  </hyperlinks>
  <pageMargins left="0.7" right="0.7" top="0.75" bottom="0.75" header="0.3" footer="0.3"/>
  <pageSetup orientation="portrait" horizontalDpi="360" verticalDpi="36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727E18-1833-4233-B8B1-BA1BDC5E99E5}">
  <sheetPr codeName="Sheet12"/>
  <dimension ref="A1:TL58"/>
  <sheetViews>
    <sheetView topLeftCell="IP16" zoomScale="58" zoomScaleNormal="85" workbookViewId="0">
      <selection activeCell="JW20" sqref="JW20:KH28"/>
    </sheetView>
  </sheetViews>
  <sheetFormatPr baseColWidth="10" defaultColWidth="18.6640625" defaultRowHeight="45" customHeight="1" x14ac:dyDescent="0.2"/>
  <cols>
    <col min="1" max="1" width="16.1640625" style="102" bestFit="1" customWidth="1"/>
    <col min="2" max="2" width="18" style="102" bestFit="1" customWidth="1"/>
    <col min="3" max="3" width="13.33203125" style="102" bestFit="1" customWidth="1"/>
    <col min="4" max="4" width="33.83203125" style="102" bestFit="1" customWidth="1"/>
    <col min="5" max="5" width="10.1640625" style="102" bestFit="1" customWidth="1"/>
    <col min="6" max="6" width="9.5" style="102" bestFit="1" customWidth="1"/>
    <col min="7" max="7" width="10.1640625" style="102" bestFit="1" customWidth="1"/>
    <col min="8" max="8" width="9.5" style="102" bestFit="1" customWidth="1"/>
    <col min="9" max="9" width="10.5" style="102" bestFit="1" customWidth="1"/>
    <col min="10" max="11" width="9.6640625" style="102" bestFit="1" customWidth="1"/>
    <col min="12" max="12" width="9" style="102" bestFit="1" customWidth="1"/>
    <col min="13" max="13" width="13.5" style="102" bestFit="1" customWidth="1"/>
    <col min="14" max="14" width="13.33203125" style="102" bestFit="1" customWidth="1"/>
    <col min="15" max="15" width="9" style="102" bestFit="1" customWidth="1"/>
    <col min="16" max="16" width="9.6640625" style="102" bestFit="1" customWidth="1"/>
    <col min="17" max="17" width="9.1640625" style="102" bestFit="1" customWidth="1"/>
    <col min="18" max="18" width="9.5" style="102" bestFit="1" customWidth="1"/>
    <col min="19" max="19" width="8.6640625" style="102" bestFit="1" customWidth="1"/>
    <col min="20" max="20" width="9.6640625" style="102" bestFit="1" customWidth="1"/>
    <col min="21" max="21" width="8.6640625" style="102" bestFit="1" customWidth="1"/>
    <col min="22" max="25" width="13.6640625" style="102" bestFit="1" customWidth="1"/>
    <col min="26" max="26" width="10.5" style="102" bestFit="1" customWidth="1"/>
    <col min="27" max="27" width="11.33203125" style="102" bestFit="1" customWidth="1"/>
    <col min="28" max="16384" width="18.6640625" style="102"/>
  </cols>
  <sheetData>
    <row r="1" spans="1:532" ht="45" customHeight="1" x14ac:dyDescent="0.2">
      <c r="A1" s="7" t="s">
        <v>23</v>
      </c>
      <c r="B1" s="7" t="s">
        <v>29</v>
      </c>
      <c r="C1" s="7" t="s">
        <v>26</v>
      </c>
      <c r="D1" s="7" t="s">
        <v>25</v>
      </c>
      <c r="E1" s="17" t="s">
        <v>0</v>
      </c>
      <c r="F1" s="17" t="s">
        <v>1</v>
      </c>
      <c r="G1" s="17" t="s">
        <v>2</v>
      </c>
      <c r="H1" s="17" t="s">
        <v>3</v>
      </c>
      <c r="I1" s="17" t="s">
        <v>4</v>
      </c>
      <c r="J1" s="17" t="s">
        <v>5</v>
      </c>
      <c r="K1" s="17" t="s">
        <v>6</v>
      </c>
      <c r="L1" s="17" t="s">
        <v>7</v>
      </c>
      <c r="M1" s="17" t="s">
        <v>8</v>
      </c>
      <c r="N1" s="17" t="s">
        <v>9</v>
      </c>
      <c r="O1" s="17" t="s">
        <v>10</v>
      </c>
      <c r="P1" s="17" t="s">
        <v>11</v>
      </c>
      <c r="Q1" s="17" t="s">
        <v>12</v>
      </c>
      <c r="R1" s="17" t="s">
        <v>13</v>
      </c>
      <c r="S1" s="17" t="s">
        <v>14</v>
      </c>
      <c r="T1" s="17" t="s">
        <v>15</v>
      </c>
      <c r="U1" s="17" t="s">
        <v>16</v>
      </c>
      <c r="V1" s="17" t="s">
        <v>17</v>
      </c>
      <c r="W1" s="17" t="s">
        <v>18</v>
      </c>
      <c r="X1" s="17" t="s">
        <v>19</v>
      </c>
      <c r="Y1" s="17" t="s">
        <v>20</v>
      </c>
      <c r="Z1" s="17" t="s">
        <v>21</v>
      </c>
      <c r="AA1" s="17" t="s">
        <v>32</v>
      </c>
    </row>
    <row r="2" spans="1:532" ht="45" customHeight="1" x14ac:dyDescent="0.4">
      <c r="A2" s="96"/>
      <c r="B2" s="96">
        <v>8</v>
      </c>
      <c r="C2" s="96">
        <v>15</v>
      </c>
      <c r="D2" s="72" t="s">
        <v>40</v>
      </c>
      <c r="E2" s="77">
        <v>0</v>
      </c>
      <c r="F2" s="77">
        <v>0</v>
      </c>
      <c r="G2" s="77">
        <v>0</v>
      </c>
      <c r="H2" s="77">
        <v>0</v>
      </c>
      <c r="I2" s="77">
        <v>0</v>
      </c>
      <c r="J2" s="77">
        <v>0</v>
      </c>
      <c r="K2" s="77">
        <v>0</v>
      </c>
      <c r="L2" s="77">
        <v>0</v>
      </c>
      <c r="M2" s="77">
        <v>0</v>
      </c>
      <c r="N2" s="77">
        <v>0</v>
      </c>
      <c r="O2" s="77">
        <v>0</v>
      </c>
      <c r="P2" s="77">
        <v>0</v>
      </c>
      <c r="Q2" s="77">
        <v>0</v>
      </c>
      <c r="R2" s="77">
        <v>0</v>
      </c>
      <c r="S2" s="77">
        <v>0</v>
      </c>
      <c r="T2" s="77">
        <v>0</v>
      </c>
      <c r="U2" s="77">
        <v>0</v>
      </c>
      <c r="V2" s="78">
        <f>IFERROR(I2/J2,0)</f>
        <v>0</v>
      </c>
      <c r="W2" s="78">
        <f>IFERROR(K2/L2,0)</f>
        <v>0</v>
      </c>
      <c r="X2" s="78">
        <f>IFERROR(E2/F2,0)</f>
        <v>0</v>
      </c>
      <c r="Y2" s="78">
        <f>IFERROR(G2/H2,0)</f>
        <v>0</v>
      </c>
      <c r="Z2" s="79">
        <f>(O2)+(0.4*I2)-(0.7*J2)-(0.4*(L2-K2))+(0.7*M2)+(0.3*N2)+S2+(0.7*Q2)+(0.7*R2)-(0.4*U2)-T2</f>
        <v>0</v>
      </c>
      <c r="AA2" s="98"/>
    </row>
    <row r="3" spans="1:532" ht="45" customHeight="1" x14ac:dyDescent="0.4">
      <c r="A3" s="96">
        <f>A2</f>
        <v>0</v>
      </c>
      <c r="B3" s="96">
        <f>B2</f>
        <v>8</v>
      </c>
      <c r="C3" s="96">
        <f>C2</f>
        <v>15</v>
      </c>
      <c r="D3" s="72" t="s">
        <v>41</v>
      </c>
      <c r="E3" s="80">
        <v>0</v>
      </c>
      <c r="F3" s="80">
        <v>0</v>
      </c>
      <c r="G3" s="80">
        <v>0</v>
      </c>
      <c r="H3" s="80">
        <v>0</v>
      </c>
      <c r="I3" s="80">
        <v>0</v>
      </c>
      <c r="J3" s="80">
        <v>0</v>
      </c>
      <c r="K3" s="80">
        <v>0</v>
      </c>
      <c r="L3" s="80">
        <v>0</v>
      </c>
      <c r="M3" s="80">
        <v>0</v>
      </c>
      <c r="N3" s="80">
        <v>0</v>
      </c>
      <c r="O3" s="80">
        <v>0</v>
      </c>
      <c r="P3" s="80">
        <v>0</v>
      </c>
      <c r="Q3" s="80">
        <v>0</v>
      </c>
      <c r="R3" s="80">
        <v>0</v>
      </c>
      <c r="S3" s="80">
        <v>0</v>
      </c>
      <c r="T3" s="80">
        <v>0</v>
      </c>
      <c r="U3" s="80">
        <v>0</v>
      </c>
      <c r="V3" s="81">
        <f t="shared" ref="V3:V7" si="0">IFERROR(I3/J3,0)</f>
        <v>0</v>
      </c>
      <c r="W3" s="81">
        <f t="shared" ref="W3:W7" si="1">IFERROR(K3/L3,0)</f>
        <v>0</v>
      </c>
      <c r="X3" s="81">
        <f t="shared" ref="X3:X7" si="2">IFERROR(E3/F3,0)</f>
        <v>0</v>
      </c>
      <c r="Y3" s="81">
        <f t="shared" ref="Y3:Y7" si="3">IFERROR(G3/H3,0)</f>
        <v>0</v>
      </c>
      <c r="Z3" s="82">
        <f t="shared" ref="Z3:Z7" si="4">(O3)+(0.4*I3)-(0.7*J3)-(0.4*(L3-K3))+(0.7*M3)+(0.3*N3)+S3+(0.7*Q3)+(0.7*R3)-(0.4*U3)-T3</f>
        <v>0</v>
      </c>
      <c r="AA3" s="101">
        <f>AA2</f>
        <v>0</v>
      </c>
    </row>
    <row r="4" spans="1:532" ht="45" customHeight="1" x14ac:dyDescent="0.4">
      <c r="A4" s="96">
        <f t="shared" ref="A4:C8" si="5">A3</f>
        <v>0</v>
      </c>
      <c r="B4" s="96">
        <f t="shared" si="5"/>
        <v>8</v>
      </c>
      <c r="C4" s="96">
        <f t="shared" si="5"/>
        <v>15</v>
      </c>
      <c r="D4" s="72" t="s">
        <v>42</v>
      </c>
      <c r="E4" s="83">
        <v>0</v>
      </c>
      <c r="F4" s="83">
        <v>0</v>
      </c>
      <c r="G4" s="83">
        <v>0</v>
      </c>
      <c r="H4" s="83">
        <v>0</v>
      </c>
      <c r="I4" s="83">
        <v>0</v>
      </c>
      <c r="J4" s="83">
        <v>0</v>
      </c>
      <c r="K4" s="83">
        <v>0</v>
      </c>
      <c r="L4" s="83">
        <v>0</v>
      </c>
      <c r="M4" s="83">
        <v>0</v>
      </c>
      <c r="N4" s="83">
        <v>0</v>
      </c>
      <c r="O4" s="83">
        <v>0</v>
      </c>
      <c r="P4" s="83">
        <v>0</v>
      </c>
      <c r="Q4" s="83">
        <v>0</v>
      </c>
      <c r="R4" s="83">
        <v>0</v>
      </c>
      <c r="S4" s="83">
        <v>0</v>
      </c>
      <c r="T4" s="83">
        <v>0</v>
      </c>
      <c r="U4" s="83">
        <v>0</v>
      </c>
      <c r="V4" s="84">
        <f t="shared" si="0"/>
        <v>0</v>
      </c>
      <c r="W4" s="84">
        <f t="shared" si="1"/>
        <v>0</v>
      </c>
      <c r="X4" s="84">
        <f t="shared" si="2"/>
        <v>0</v>
      </c>
      <c r="Y4" s="84">
        <f t="shared" si="3"/>
        <v>0</v>
      </c>
      <c r="Z4" s="85">
        <f t="shared" si="4"/>
        <v>0</v>
      </c>
      <c r="AA4" s="101">
        <f t="shared" ref="AA4:AA8" si="6">AA3</f>
        <v>0</v>
      </c>
    </row>
    <row r="5" spans="1:532" ht="45" customHeight="1" x14ac:dyDescent="0.4">
      <c r="A5" s="96">
        <f t="shared" si="5"/>
        <v>0</v>
      </c>
      <c r="B5" s="96">
        <f t="shared" si="5"/>
        <v>8</v>
      </c>
      <c r="C5" s="96">
        <f t="shared" si="5"/>
        <v>15</v>
      </c>
      <c r="D5" s="72" t="s">
        <v>43</v>
      </c>
      <c r="E5" s="86">
        <v>0</v>
      </c>
      <c r="F5" s="86">
        <v>0</v>
      </c>
      <c r="G5" s="86">
        <v>0</v>
      </c>
      <c r="H5" s="86">
        <v>0</v>
      </c>
      <c r="I5" s="86">
        <v>0</v>
      </c>
      <c r="J5" s="86">
        <v>0</v>
      </c>
      <c r="K5" s="86">
        <v>0</v>
      </c>
      <c r="L5" s="86">
        <v>0</v>
      </c>
      <c r="M5" s="86">
        <v>0</v>
      </c>
      <c r="N5" s="86">
        <v>0</v>
      </c>
      <c r="O5" s="86">
        <v>0</v>
      </c>
      <c r="P5" s="86">
        <v>0</v>
      </c>
      <c r="Q5" s="86">
        <v>0</v>
      </c>
      <c r="R5" s="86">
        <v>0</v>
      </c>
      <c r="S5" s="86">
        <v>0</v>
      </c>
      <c r="T5" s="86">
        <v>0</v>
      </c>
      <c r="U5" s="86">
        <v>0</v>
      </c>
      <c r="V5" s="87">
        <f t="shared" si="0"/>
        <v>0</v>
      </c>
      <c r="W5" s="87">
        <f t="shared" si="1"/>
        <v>0</v>
      </c>
      <c r="X5" s="87">
        <f t="shared" si="2"/>
        <v>0</v>
      </c>
      <c r="Y5" s="87">
        <f t="shared" si="3"/>
        <v>0</v>
      </c>
      <c r="Z5" s="88">
        <f t="shared" si="4"/>
        <v>0</v>
      </c>
      <c r="AA5" s="101">
        <f t="shared" si="6"/>
        <v>0</v>
      </c>
      <c r="AU5" s="104"/>
      <c r="AV5" s="105"/>
      <c r="AW5" s="105"/>
      <c r="AX5" s="105"/>
      <c r="AY5" s="105"/>
      <c r="AZ5" s="105"/>
      <c r="BA5" s="105"/>
      <c r="BB5" s="105"/>
      <c r="BC5" s="105"/>
      <c r="BD5" s="105"/>
      <c r="BE5" s="105"/>
      <c r="BF5" s="105"/>
      <c r="BG5" s="105"/>
      <c r="BH5" s="105"/>
      <c r="BI5" s="105"/>
      <c r="BJ5" s="105"/>
      <c r="BK5" s="105"/>
      <c r="BL5" s="105"/>
      <c r="BM5" s="106"/>
      <c r="BN5" s="106"/>
      <c r="BO5" s="106"/>
      <c r="BP5" s="106"/>
      <c r="BQ5" s="107"/>
    </row>
    <row r="6" spans="1:532" ht="45" customHeight="1" x14ac:dyDescent="0.4">
      <c r="A6" s="96">
        <f t="shared" si="5"/>
        <v>0</v>
      </c>
      <c r="B6" s="96">
        <f t="shared" si="5"/>
        <v>8</v>
      </c>
      <c r="C6" s="96">
        <f t="shared" si="5"/>
        <v>15</v>
      </c>
      <c r="D6" s="72" t="s">
        <v>44</v>
      </c>
      <c r="E6" s="89">
        <v>0</v>
      </c>
      <c r="F6" s="89">
        <v>0</v>
      </c>
      <c r="G6" s="89">
        <v>0</v>
      </c>
      <c r="H6" s="89">
        <v>0</v>
      </c>
      <c r="I6" s="89">
        <v>0</v>
      </c>
      <c r="J6" s="89">
        <v>0</v>
      </c>
      <c r="K6" s="89">
        <v>0</v>
      </c>
      <c r="L6" s="89">
        <v>0</v>
      </c>
      <c r="M6" s="89">
        <v>0</v>
      </c>
      <c r="N6" s="89">
        <v>0</v>
      </c>
      <c r="O6" s="89">
        <v>0</v>
      </c>
      <c r="P6" s="89">
        <v>0</v>
      </c>
      <c r="Q6" s="89">
        <v>0</v>
      </c>
      <c r="R6" s="89">
        <v>0</v>
      </c>
      <c r="S6" s="89">
        <v>0</v>
      </c>
      <c r="T6" s="89">
        <v>0</v>
      </c>
      <c r="U6" s="89">
        <v>0</v>
      </c>
      <c r="V6" s="90">
        <f t="shared" si="0"/>
        <v>0</v>
      </c>
      <c r="W6" s="90">
        <f t="shared" si="1"/>
        <v>0</v>
      </c>
      <c r="X6" s="90">
        <f t="shared" si="2"/>
        <v>0</v>
      </c>
      <c r="Y6" s="90">
        <f t="shared" si="3"/>
        <v>0</v>
      </c>
      <c r="Z6" s="91">
        <f t="shared" si="4"/>
        <v>0</v>
      </c>
      <c r="AA6" s="101">
        <f t="shared" si="6"/>
        <v>0</v>
      </c>
      <c r="AU6" s="104"/>
      <c r="AV6" s="105"/>
      <c r="AW6" s="105"/>
      <c r="AX6" s="105"/>
      <c r="AY6" s="105"/>
      <c r="AZ6" s="105"/>
      <c r="BA6" s="105"/>
      <c r="BB6" s="105"/>
      <c r="BC6" s="105"/>
      <c r="BD6" s="105"/>
      <c r="BE6" s="105"/>
      <c r="BF6" s="105"/>
      <c r="BG6" s="105"/>
      <c r="BH6" s="105"/>
      <c r="BI6" s="105"/>
      <c r="BJ6" s="105"/>
      <c r="BK6" s="105"/>
      <c r="BL6" s="105"/>
      <c r="BM6" s="106"/>
      <c r="BN6" s="106"/>
      <c r="BO6" s="106"/>
      <c r="BP6" s="106"/>
      <c r="BQ6" s="107"/>
    </row>
    <row r="7" spans="1:532" ht="46.5" customHeight="1" x14ac:dyDescent="0.4">
      <c r="A7" s="96">
        <f t="shared" si="5"/>
        <v>0</v>
      </c>
      <c r="B7" s="96">
        <f t="shared" si="5"/>
        <v>8</v>
      </c>
      <c r="C7" s="96">
        <f t="shared" si="5"/>
        <v>15</v>
      </c>
      <c r="D7" s="72" t="s">
        <v>31</v>
      </c>
      <c r="E7" s="76">
        <v>0</v>
      </c>
      <c r="F7" s="76">
        <v>0</v>
      </c>
      <c r="G7" s="76">
        <v>0</v>
      </c>
      <c r="H7" s="76">
        <v>0</v>
      </c>
      <c r="I7" s="76">
        <v>0</v>
      </c>
      <c r="J7" s="76">
        <v>0</v>
      </c>
      <c r="K7" s="76">
        <v>0</v>
      </c>
      <c r="L7" s="76">
        <v>0</v>
      </c>
      <c r="M7" s="76">
        <v>0</v>
      </c>
      <c r="N7" s="76">
        <v>0</v>
      </c>
      <c r="O7" s="76">
        <v>0</v>
      </c>
      <c r="P7" s="76">
        <v>0</v>
      </c>
      <c r="Q7" s="76">
        <v>0</v>
      </c>
      <c r="R7" s="76">
        <v>0</v>
      </c>
      <c r="S7" s="76">
        <v>0</v>
      </c>
      <c r="T7" s="76">
        <v>0</v>
      </c>
      <c r="U7" s="76">
        <v>0</v>
      </c>
      <c r="V7" s="92">
        <f t="shared" si="0"/>
        <v>0</v>
      </c>
      <c r="W7" s="92">
        <f t="shared" si="1"/>
        <v>0</v>
      </c>
      <c r="X7" s="92">
        <f t="shared" si="2"/>
        <v>0</v>
      </c>
      <c r="Y7" s="92">
        <f t="shared" si="3"/>
        <v>0</v>
      </c>
      <c r="Z7" s="93">
        <f t="shared" si="4"/>
        <v>0</v>
      </c>
      <c r="AA7" s="101">
        <f t="shared" si="6"/>
        <v>0</v>
      </c>
      <c r="AU7" s="108"/>
      <c r="AV7" s="109"/>
      <c r="AW7" s="109"/>
      <c r="AX7" s="109"/>
      <c r="AY7" s="109"/>
      <c r="AZ7" s="109"/>
      <c r="BA7" s="109"/>
      <c r="BB7" s="109"/>
      <c r="BC7" s="109"/>
      <c r="BD7" s="109"/>
      <c r="BE7" s="109"/>
      <c r="BF7" s="109"/>
      <c r="BG7" s="109"/>
      <c r="BH7" s="109"/>
      <c r="BI7" s="109"/>
      <c r="BJ7" s="109"/>
      <c r="BK7" s="109"/>
      <c r="BL7" s="109"/>
      <c r="BM7" s="110"/>
      <c r="BN7" s="110"/>
      <c r="BO7" s="110"/>
      <c r="BP7" s="110"/>
      <c r="BQ7" s="111"/>
      <c r="BR7" s="104"/>
      <c r="BS7" s="105"/>
      <c r="BT7" s="105"/>
      <c r="BU7" s="105"/>
      <c r="BV7" s="105"/>
      <c r="BW7" s="105"/>
      <c r="BX7" s="105"/>
      <c r="BY7" s="105"/>
      <c r="BZ7" s="105"/>
      <c r="CA7" s="105"/>
      <c r="CB7" s="105"/>
      <c r="CC7" s="105"/>
      <c r="CD7" s="105"/>
      <c r="CE7" s="105"/>
      <c r="CF7" s="105"/>
      <c r="CG7" s="105"/>
      <c r="CH7" s="105"/>
      <c r="CI7" s="105"/>
      <c r="CJ7" s="106"/>
      <c r="CK7" s="106"/>
      <c r="CL7" s="106"/>
      <c r="CM7" s="106"/>
      <c r="CN7" s="107"/>
      <c r="CO7" s="108"/>
      <c r="CP7" s="109"/>
      <c r="CQ7" s="109"/>
      <c r="CR7" s="109"/>
      <c r="CS7" s="109"/>
      <c r="CT7" s="109"/>
      <c r="CU7" s="109"/>
      <c r="CV7" s="109"/>
      <c r="CW7" s="109"/>
      <c r="CX7" s="109"/>
      <c r="CY7" s="109"/>
      <c r="CZ7" s="109"/>
      <c r="DA7" s="109"/>
      <c r="DB7" s="109"/>
      <c r="DC7" s="109"/>
      <c r="DD7" s="109"/>
      <c r="DE7" s="109"/>
      <c r="DF7" s="109"/>
      <c r="DG7" s="110"/>
      <c r="DH7" s="110"/>
      <c r="DI7" s="110"/>
      <c r="DJ7" s="110"/>
      <c r="DK7" s="111"/>
      <c r="DL7" s="104"/>
      <c r="DM7" s="105"/>
      <c r="DN7" s="105"/>
      <c r="DO7" s="105"/>
      <c r="DP7" s="105"/>
      <c r="DQ7" s="105"/>
      <c r="DR7" s="105"/>
      <c r="DS7" s="105"/>
      <c r="DT7" s="105"/>
      <c r="DU7" s="105"/>
      <c r="DV7" s="105"/>
      <c r="DW7" s="105"/>
      <c r="DX7" s="105"/>
      <c r="DY7" s="105"/>
      <c r="DZ7" s="105"/>
      <c r="EA7" s="105"/>
      <c r="EB7" s="105"/>
      <c r="EC7" s="105"/>
      <c r="ED7" s="106"/>
      <c r="EE7" s="106"/>
      <c r="EF7" s="106"/>
      <c r="EG7" s="106"/>
      <c r="EH7" s="107"/>
      <c r="EI7" s="104"/>
      <c r="EJ7" s="105"/>
      <c r="EK7" s="105"/>
      <c r="EL7" s="105"/>
      <c r="EM7" s="105"/>
      <c r="EN7" s="105"/>
      <c r="EO7" s="105"/>
      <c r="EP7" s="105"/>
      <c r="EQ7" s="105"/>
      <c r="ER7" s="105"/>
      <c r="ES7" s="105"/>
      <c r="ET7" s="105"/>
      <c r="EU7" s="105"/>
      <c r="EV7" s="105"/>
      <c r="EW7" s="105"/>
      <c r="EX7" s="105"/>
      <c r="EY7" s="105"/>
      <c r="EZ7" s="105"/>
      <c r="FA7" s="106"/>
      <c r="FB7" s="106"/>
      <c r="FC7" s="106"/>
      <c r="FD7" s="106"/>
      <c r="FE7" s="107"/>
      <c r="FF7" s="104"/>
      <c r="FG7" s="105"/>
      <c r="FH7" s="105"/>
      <c r="FI7" s="105"/>
      <c r="FJ7" s="105"/>
      <c r="FK7" s="105"/>
      <c r="FL7" s="105"/>
      <c r="FM7" s="105"/>
      <c r="FN7" s="105"/>
      <c r="FO7" s="105"/>
      <c r="FP7" s="105"/>
      <c r="FQ7" s="105"/>
      <c r="FR7" s="105"/>
      <c r="FS7" s="105"/>
      <c r="FT7" s="105"/>
      <c r="FU7" s="105"/>
      <c r="FV7" s="105"/>
      <c r="FW7" s="105"/>
      <c r="FX7" s="106"/>
      <c r="FY7" s="106"/>
      <c r="FZ7" s="106"/>
      <c r="GA7" s="106"/>
      <c r="GB7" s="107"/>
      <c r="GC7" s="104"/>
      <c r="GD7" s="105"/>
      <c r="GE7" s="105"/>
      <c r="GF7" s="105"/>
      <c r="GG7" s="105"/>
      <c r="GH7" s="105"/>
      <c r="GI7" s="105"/>
      <c r="GJ7" s="105"/>
      <c r="GK7" s="105"/>
      <c r="GL7" s="105"/>
      <c r="GM7" s="105"/>
      <c r="GN7" s="105"/>
      <c r="GO7" s="105"/>
      <c r="GP7" s="105"/>
      <c r="GQ7" s="105"/>
      <c r="GR7" s="105"/>
      <c r="GS7" s="105"/>
      <c r="GT7" s="105"/>
      <c r="GU7" s="106"/>
      <c r="GV7" s="106"/>
      <c r="GW7" s="106"/>
      <c r="GX7" s="106"/>
      <c r="GY7" s="107"/>
      <c r="GZ7" s="104"/>
      <c r="HA7" s="109"/>
      <c r="HB7" s="109"/>
      <c r="HC7" s="109"/>
      <c r="HD7" s="109"/>
      <c r="HE7" s="109"/>
      <c r="HF7" s="109"/>
      <c r="HG7" s="109"/>
      <c r="HH7" s="109"/>
      <c r="HI7" s="109"/>
      <c r="HJ7" s="109"/>
      <c r="HK7" s="109"/>
      <c r="HL7" s="109"/>
      <c r="HM7" s="109"/>
      <c r="HN7" s="109"/>
      <c r="HO7" s="109"/>
      <c r="HP7" s="109"/>
      <c r="HQ7" s="109"/>
      <c r="HR7" s="110"/>
      <c r="HS7" s="110"/>
      <c r="HT7" s="110"/>
      <c r="HU7" s="110"/>
      <c r="HV7" s="111"/>
      <c r="HW7" s="104"/>
      <c r="HX7" s="105"/>
      <c r="HY7" s="105"/>
      <c r="HZ7" s="105"/>
      <c r="IA7" s="105"/>
      <c r="IB7" s="105"/>
      <c r="IC7" s="105"/>
      <c r="ID7" s="105"/>
      <c r="IE7" s="105"/>
      <c r="IF7" s="105"/>
      <c r="IG7" s="105"/>
      <c r="IH7" s="105"/>
      <c r="II7" s="105"/>
      <c r="IJ7" s="105"/>
      <c r="IK7" s="105"/>
      <c r="IL7" s="105"/>
      <c r="IM7" s="105"/>
      <c r="IN7" s="105"/>
      <c r="IO7" s="106"/>
      <c r="IP7" s="106"/>
      <c r="IQ7" s="106"/>
      <c r="IR7" s="106"/>
      <c r="IS7" s="107"/>
      <c r="IT7" s="104"/>
      <c r="IU7" s="109"/>
      <c r="IV7" s="109"/>
      <c r="IW7" s="109"/>
      <c r="IX7" s="109"/>
      <c r="IY7" s="109"/>
      <c r="IZ7" s="109"/>
      <c r="JA7" s="109"/>
      <c r="JB7" s="109"/>
      <c r="JC7" s="109"/>
      <c r="JD7" s="109"/>
      <c r="JE7" s="109"/>
      <c r="JF7" s="109"/>
      <c r="JG7" s="109"/>
      <c r="JH7" s="109"/>
      <c r="JI7" s="109"/>
      <c r="JJ7" s="109"/>
      <c r="JK7" s="109"/>
      <c r="JL7" s="110"/>
      <c r="JM7" s="110"/>
      <c r="JN7" s="110"/>
      <c r="JO7" s="110"/>
      <c r="JP7" s="111"/>
      <c r="JQ7" s="104"/>
      <c r="JR7" s="109"/>
      <c r="JS7" s="109"/>
      <c r="JT7" s="109"/>
      <c r="JU7" s="109"/>
      <c r="JV7" s="109"/>
      <c r="JW7" s="109"/>
      <c r="JX7" s="109"/>
      <c r="JY7" s="109"/>
      <c r="JZ7" s="109"/>
      <c r="KA7" s="109"/>
      <c r="KB7" s="109"/>
      <c r="KC7" s="109"/>
      <c r="KD7" s="109"/>
      <c r="KE7" s="109"/>
      <c r="KF7" s="109"/>
      <c r="KG7" s="109"/>
      <c r="KH7" s="109"/>
      <c r="KI7" s="110"/>
      <c r="KJ7" s="110"/>
      <c r="KK7" s="110"/>
      <c r="KL7" s="110"/>
      <c r="KM7" s="111"/>
      <c r="KN7" s="104"/>
      <c r="KO7" s="109"/>
      <c r="KP7" s="109"/>
      <c r="KQ7" s="109"/>
      <c r="KR7" s="109"/>
      <c r="KS7" s="109"/>
      <c r="KT7" s="109"/>
      <c r="KU7" s="109"/>
      <c r="KV7" s="109"/>
      <c r="KW7" s="109"/>
      <c r="KX7" s="109"/>
      <c r="KY7" s="109"/>
      <c r="KZ7" s="109"/>
      <c r="LA7" s="109"/>
      <c r="LB7" s="109"/>
      <c r="LC7" s="109"/>
      <c r="LD7" s="109"/>
      <c r="LE7" s="109"/>
      <c r="LF7" s="110"/>
      <c r="LG7" s="110"/>
      <c r="LH7" s="110"/>
      <c r="LI7" s="110"/>
      <c r="LJ7" s="111"/>
      <c r="LK7" s="104"/>
      <c r="LL7" s="109"/>
      <c r="LM7" s="109"/>
      <c r="LN7" s="109"/>
      <c r="LO7" s="109"/>
      <c r="LP7" s="109"/>
      <c r="LQ7" s="109"/>
      <c r="LR7" s="109"/>
      <c r="LS7" s="109"/>
      <c r="LT7" s="109"/>
      <c r="LU7" s="109"/>
      <c r="LV7" s="109"/>
      <c r="LW7" s="109"/>
      <c r="LX7" s="109"/>
      <c r="LY7" s="109"/>
      <c r="LZ7" s="109"/>
      <c r="MA7" s="109"/>
      <c r="MB7" s="109"/>
      <c r="MC7" s="110"/>
      <c r="MD7" s="110"/>
      <c r="ME7" s="110"/>
      <c r="MF7" s="110"/>
      <c r="MG7" s="111"/>
      <c r="MH7" s="104"/>
      <c r="MI7" s="109"/>
      <c r="MJ7" s="109"/>
      <c r="MK7" s="109"/>
      <c r="ML7" s="109"/>
      <c r="MM7" s="109"/>
      <c r="MN7" s="109"/>
      <c r="MO7" s="109"/>
      <c r="MP7" s="109"/>
      <c r="MQ7" s="109"/>
      <c r="MR7" s="109"/>
      <c r="MS7" s="109"/>
      <c r="MT7" s="109"/>
      <c r="MU7" s="109"/>
      <c r="MV7" s="109"/>
      <c r="MW7" s="109"/>
      <c r="MX7" s="109"/>
      <c r="MY7" s="109"/>
      <c r="MZ7" s="110"/>
      <c r="NA7" s="110"/>
      <c r="NB7" s="110"/>
      <c r="NC7" s="110"/>
      <c r="ND7" s="111"/>
      <c r="OB7" s="104"/>
      <c r="OC7" s="109"/>
      <c r="OD7" s="109"/>
      <c r="OE7" s="109"/>
      <c r="OF7" s="109"/>
      <c r="OG7" s="109"/>
      <c r="OH7" s="109"/>
      <c r="OI7" s="109"/>
      <c r="OJ7" s="109"/>
      <c r="OK7" s="109"/>
      <c r="OL7" s="109"/>
      <c r="OM7" s="109"/>
      <c r="ON7" s="109"/>
      <c r="OO7" s="109"/>
      <c r="OP7" s="109"/>
      <c r="OQ7" s="109"/>
      <c r="OR7" s="109"/>
      <c r="OS7" s="109"/>
      <c r="OT7" s="110"/>
      <c r="OU7" s="110"/>
      <c r="OV7" s="110"/>
      <c r="OW7" s="110"/>
      <c r="OX7" s="111"/>
    </row>
    <row r="8" spans="1:532" ht="46.5" customHeight="1" x14ac:dyDescent="0.4">
      <c r="A8" s="96">
        <f t="shared" si="5"/>
        <v>0</v>
      </c>
      <c r="B8" s="96">
        <f t="shared" si="5"/>
        <v>8</v>
      </c>
      <c r="C8" s="96">
        <f t="shared" si="5"/>
        <v>15</v>
      </c>
      <c r="D8" s="94"/>
      <c r="E8" s="94"/>
      <c r="F8" s="94"/>
      <c r="G8" s="94"/>
      <c r="H8" s="94"/>
      <c r="I8" s="94"/>
      <c r="J8" s="94"/>
      <c r="K8" s="94"/>
      <c r="L8" s="94"/>
      <c r="M8" s="94"/>
      <c r="N8" s="94"/>
      <c r="O8" s="94"/>
      <c r="P8" s="94"/>
      <c r="Q8" s="94"/>
      <c r="R8" s="94"/>
      <c r="S8" s="94"/>
      <c r="T8" s="94"/>
      <c r="U8" s="94"/>
      <c r="V8" s="94"/>
      <c r="W8" s="94"/>
      <c r="X8" s="94"/>
      <c r="Y8" s="94"/>
      <c r="Z8" s="94"/>
      <c r="AA8" s="101">
        <f t="shared" si="6"/>
        <v>0</v>
      </c>
      <c r="AB8" s="104"/>
      <c r="AC8" s="104"/>
      <c r="AD8" s="104"/>
      <c r="AE8" s="104"/>
      <c r="AF8" s="104"/>
      <c r="AG8" s="104"/>
      <c r="AH8" s="104"/>
      <c r="AI8" s="104"/>
      <c r="AJ8" s="104"/>
      <c r="AK8" s="104"/>
      <c r="AL8" s="104"/>
      <c r="AM8" s="104"/>
      <c r="AN8" s="104"/>
      <c r="AO8" s="104"/>
      <c r="AP8" s="104"/>
      <c r="AQ8" s="104"/>
      <c r="AR8" s="104"/>
      <c r="AS8" s="104"/>
      <c r="AT8" s="104"/>
      <c r="AU8" s="104"/>
      <c r="AV8" s="104"/>
      <c r="AW8" s="104"/>
      <c r="AX8" s="104"/>
      <c r="AY8" s="104"/>
      <c r="AZ8" s="104"/>
      <c r="BA8" s="104"/>
      <c r="BB8" s="104"/>
      <c r="BC8" s="104"/>
      <c r="BD8" s="104"/>
      <c r="BE8" s="104"/>
      <c r="BF8" s="104"/>
      <c r="BG8" s="104"/>
      <c r="BH8" s="104"/>
      <c r="BI8" s="104"/>
      <c r="BJ8" s="104"/>
      <c r="BK8" s="104"/>
      <c r="BL8" s="104"/>
      <c r="BM8" s="104"/>
      <c r="BN8" s="104"/>
      <c r="BO8" s="104"/>
      <c r="BP8" s="104"/>
      <c r="BQ8" s="104"/>
      <c r="BR8" s="104"/>
      <c r="BS8" s="104"/>
      <c r="BT8" s="104"/>
      <c r="BU8" s="104"/>
      <c r="BV8" s="104"/>
      <c r="BW8" s="104"/>
      <c r="BX8" s="104"/>
      <c r="BY8" s="104"/>
      <c r="BZ8" s="104"/>
      <c r="CA8" s="104"/>
      <c r="CB8" s="104"/>
      <c r="CC8" s="104"/>
      <c r="CD8" s="104"/>
      <c r="CE8" s="104"/>
      <c r="CF8" s="104"/>
      <c r="CG8" s="104"/>
      <c r="CH8" s="104"/>
      <c r="CI8" s="104"/>
      <c r="CJ8" s="104"/>
      <c r="CK8" s="104"/>
      <c r="CL8" s="104"/>
      <c r="CM8" s="104"/>
      <c r="CN8" s="104"/>
      <c r="CO8" s="104"/>
      <c r="CP8" s="104"/>
      <c r="CQ8" s="104"/>
      <c r="CR8" s="104"/>
      <c r="CS8" s="104"/>
      <c r="CT8" s="104"/>
      <c r="CU8" s="104"/>
      <c r="CV8" s="104"/>
      <c r="CW8" s="104"/>
      <c r="CX8" s="104"/>
      <c r="CY8" s="104"/>
      <c r="CZ8" s="104"/>
      <c r="DA8" s="104"/>
      <c r="DB8" s="104"/>
      <c r="DC8" s="104"/>
      <c r="DD8" s="104"/>
      <c r="DE8" s="104"/>
      <c r="DF8" s="104"/>
      <c r="DG8" s="104"/>
      <c r="DH8" s="104"/>
      <c r="DI8" s="104"/>
      <c r="DJ8" s="104"/>
      <c r="DK8" s="104"/>
      <c r="DL8" s="104"/>
      <c r="DM8" s="104"/>
      <c r="DN8" s="104"/>
      <c r="DO8" s="104"/>
      <c r="DP8" s="104"/>
      <c r="DQ8" s="104"/>
      <c r="DR8" s="104"/>
      <c r="DS8" s="104"/>
      <c r="DT8" s="104"/>
      <c r="DU8" s="104"/>
      <c r="DV8" s="104"/>
      <c r="DW8" s="104"/>
      <c r="DX8" s="104"/>
      <c r="DY8" s="104"/>
      <c r="DZ8" s="104"/>
      <c r="EA8" s="104"/>
      <c r="EB8" s="104"/>
      <c r="EC8" s="104"/>
      <c r="ED8" s="104"/>
      <c r="EE8" s="104"/>
      <c r="EF8" s="104"/>
      <c r="EG8" s="104"/>
      <c r="EH8" s="104"/>
      <c r="EI8" s="104"/>
      <c r="EJ8" s="104"/>
      <c r="EK8" s="104"/>
      <c r="EL8" s="104"/>
      <c r="EM8" s="104"/>
      <c r="EN8" s="104"/>
      <c r="EO8" s="104"/>
      <c r="EP8" s="104"/>
      <c r="EQ8" s="104"/>
      <c r="ER8" s="104"/>
      <c r="ES8" s="104"/>
      <c r="ET8" s="104"/>
      <c r="EU8" s="104"/>
      <c r="EV8" s="104"/>
      <c r="EW8" s="104"/>
      <c r="EX8" s="104"/>
      <c r="EY8" s="104"/>
      <c r="EZ8" s="104"/>
      <c r="FA8" s="104"/>
      <c r="FB8" s="104"/>
      <c r="FC8" s="104"/>
      <c r="FD8" s="104"/>
      <c r="FE8" s="104"/>
      <c r="FF8" s="104"/>
      <c r="FG8" s="104"/>
      <c r="FH8" s="104"/>
      <c r="FI8" s="104"/>
      <c r="FJ8" s="104"/>
      <c r="FK8" s="104"/>
      <c r="FL8" s="104"/>
      <c r="FM8" s="104"/>
      <c r="FN8" s="104"/>
      <c r="FO8" s="104"/>
      <c r="FP8" s="104"/>
      <c r="FQ8" s="104"/>
      <c r="FR8" s="104"/>
      <c r="FS8" s="104"/>
      <c r="FT8" s="104"/>
      <c r="FU8" s="104"/>
      <c r="FV8" s="104"/>
      <c r="FW8" s="104"/>
      <c r="FX8" s="104"/>
      <c r="FY8" s="104"/>
      <c r="FZ8" s="104"/>
      <c r="GA8" s="104"/>
      <c r="GB8" s="104"/>
      <c r="GC8" s="104"/>
      <c r="GD8" s="104"/>
      <c r="GE8" s="104"/>
      <c r="GF8" s="104"/>
      <c r="GG8" s="104"/>
      <c r="GH8" s="104"/>
      <c r="GI8" s="104"/>
      <c r="GJ8" s="104"/>
      <c r="GK8" s="104"/>
      <c r="GL8" s="104"/>
      <c r="GM8" s="104"/>
      <c r="GN8" s="104"/>
      <c r="GO8" s="104"/>
      <c r="GP8" s="104"/>
      <c r="GQ8" s="104"/>
      <c r="GR8" s="104"/>
      <c r="GS8" s="104"/>
      <c r="GT8" s="104"/>
      <c r="GU8" s="104"/>
      <c r="GV8" s="104"/>
      <c r="GW8" s="104"/>
      <c r="GX8" s="104"/>
      <c r="GY8" s="104"/>
      <c r="GZ8" s="104"/>
      <c r="HA8" s="104"/>
      <c r="HB8" s="104"/>
      <c r="HC8" s="104"/>
      <c r="HD8" s="104"/>
      <c r="HE8" s="104"/>
      <c r="HF8" s="104"/>
      <c r="HG8" s="104"/>
      <c r="HH8" s="104"/>
      <c r="HI8" s="104"/>
      <c r="HJ8" s="104"/>
      <c r="HK8" s="104"/>
      <c r="HL8" s="104"/>
      <c r="HM8" s="104"/>
      <c r="HN8" s="104"/>
      <c r="HO8" s="104"/>
      <c r="HP8" s="104"/>
      <c r="HQ8" s="104"/>
      <c r="HR8" s="104"/>
      <c r="HS8" s="104"/>
      <c r="HT8" s="104"/>
      <c r="HU8" s="104"/>
      <c r="HV8" s="104"/>
      <c r="HW8" s="104"/>
      <c r="HX8" s="104"/>
      <c r="HY8" s="104"/>
      <c r="HZ8" s="104"/>
      <c r="IA8" s="104"/>
      <c r="IB8" s="104"/>
      <c r="IC8" s="104"/>
      <c r="ID8" s="104"/>
      <c r="IE8" s="104"/>
      <c r="IF8" s="104"/>
      <c r="IG8" s="104"/>
      <c r="IH8" s="104"/>
      <c r="II8" s="104"/>
      <c r="IJ8" s="104"/>
      <c r="IK8" s="104"/>
      <c r="IL8" s="104"/>
      <c r="IM8" s="104"/>
      <c r="IN8" s="104"/>
      <c r="IO8" s="104"/>
      <c r="IP8" s="104"/>
      <c r="IQ8" s="104"/>
      <c r="IR8" s="104"/>
      <c r="IS8" s="104"/>
      <c r="IT8" s="104"/>
      <c r="IU8" s="104"/>
      <c r="IV8" s="104"/>
      <c r="IW8" s="104"/>
      <c r="IX8" s="104"/>
      <c r="IY8" s="104"/>
      <c r="IZ8" s="104"/>
      <c r="JA8" s="104"/>
      <c r="JB8" s="104"/>
      <c r="JC8" s="104"/>
      <c r="JD8" s="104"/>
      <c r="JE8" s="104"/>
      <c r="JF8" s="104"/>
      <c r="JG8" s="104"/>
      <c r="JH8" s="104"/>
      <c r="JI8" s="104"/>
      <c r="JJ8" s="104"/>
      <c r="JK8" s="104"/>
      <c r="JL8" s="104"/>
      <c r="JM8" s="104"/>
      <c r="JN8" s="104"/>
      <c r="JO8" s="104"/>
      <c r="JP8" s="104"/>
      <c r="JQ8" s="104"/>
      <c r="JR8" s="104"/>
      <c r="JS8" s="104"/>
      <c r="JT8" s="104"/>
      <c r="JU8" s="104"/>
      <c r="JV8" s="104"/>
      <c r="JW8" s="104"/>
      <c r="JX8" s="104"/>
      <c r="JY8" s="104"/>
      <c r="JZ8" s="104"/>
      <c r="KA8" s="104"/>
      <c r="KB8" s="104"/>
      <c r="KC8" s="104"/>
      <c r="KD8" s="104"/>
      <c r="KE8" s="104"/>
      <c r="KF8" s="104"/>
      <c r="KG8" s="104"/>
      <c r="KH8" s="104"/>
      <c r="KI8" s="104"/>
      <c r="KJ8" s="104"/>
      <c r="KK8" s="104"/>
      <c r="KL8" s="104"/>
      <c r="KM8" s="104"/>
      <c r="KN8" s="104"/>
      <c r="KO8" s="104"/>
      <c r="KP8" s="104"/>
      <c r="KQ8" s="104"/>
      <c r="KR8" s="104"/>
      <c r="KS8" s="104"/>
      <c r="KT8" s="104"/>
      <c r="KU8" s="104"/>
      <c r="KV8" s="104"/>
      <c r="KW8" s="104"/>
      <c r="KX8" s="104"/>
      <c r="KY8" s="104"/>
      <c r="KZ8" s="104"/>
      <c r="LA8" s="104"/>
      <c r="LB8" s="104"/>
      <c r="LC8" s="104"/>
      <c r="LD8" s="104"/>
      <c r="LE8" s="104"/>
      <c r="LF8" s="104"/>
      <c r="LG8" s="104"/>
      <c r="LH8" s="104"/>
      <c r="LI8" s="104"/>
      <c r="LJ8" s="104"/>
      <c r="LK8" s="104"/>
      <c r="LL8" s="104"/>
      <c r="LM8" s="104"/>
      <c r="LN8" s="104"/>
      <c r="LO8" s="104"/>
      <c r="LP8" s="104"/>
      <c r="LQ8" s="104"/>
      <c r="LR8" s="104"/>
      <c r="LS8" s="104"/>
      <c r="LT8" s="104"/>
      <c r="LU8" s="104"/>
      <c r="LV8" s="104"/>
      <c r="LW8" s="104"/>
      <c r="LX8" s="104"/>
      <c r="LY8" s="104"/>
      <c r="LZ8" s="104"/>
      <c r="MA8" s="104"/>
      <c r="MB8" s="104"/>
      <c r="MC8" s="104"/>
      <c r="MD8" s="104"/>
      <c r="ME8" s="104"/>
      <c r="MF8" s="104"/>
      <c r="MG8" s="104"/>
      <c r="MH8" s="104"/>
      <c r="MI8" s="104"/>
      <c r="MJ8" s="104"/>
      <c r="MK8" s="104"/>
      <c r="ML8" s="104"/>
      <c r="MM8" s="104"/>
      <c r="MN8" s="104"/>
      <c r="MO8" s="104"/>
      <c r="MP8" s="104"/>
      <c r="MQ8" s="104"/>
      <c r="MR8" s="104"/>
      <c r="MS8" s="104"/>
      <c r="MT8" s="104"/>
      <c r="MU8" s="104"/>
      <c r="MV8" s="104"/>
      <c r="MW8" s="104"/>
      <c r="MX8" s="104"/>
      <c r="MY8" s="104"/>
      <c r="MZ8" s="104"/>
      <c r="NA8" s="104"/>
      <c r="NB8" s="104"/>
      <c r="NC8" s="104"/>
      <c r="ND8" s="104"/>
      <c r="NE8" s="104"/>
      <c r="NF8" s="104"/>
      <c r="NG8" s="104"/>
      <c r="NH8" s="104"/>
      <c r="NI8" s="104"/>
      <c r="NJ8" s="104"/>
      <c r="NK8" s="104"/>
      <c r="NL8" s="104"/>
      <c r="NM8" s="104"/>
      <c r="NN8" s="104"/>
      <c r="NO8" s="104"/>
      <c r="NP8" s="104"/>
      <c r="NQ8" s="104"/>
      <c r="NR8" s="104"/>
      <c r="NS8" s="104"/>
      <c r="NT8" s="104"/>
      <c r="NU8" s="104"/>
      <c r="NV8" s="104"/>
      <c r="NW8" s="104"/>
      <c r="NX8" s="104"/>
      <c r="NY8" s="104"/>
      <c r="NZ8" s="104"/>
      <c r="OA8" s="104"/>
      <c r="OB8" s="104"/>
      <c r="OC8" s="104"/>
      <c r="OD8" s="104"/>
      <c r="OE8" s="104"/>
      <c r="OF8" s="104"/>
      <c r="OG8" s="104"/>
      <c r="OH8" s="104"/>
      <c r="OI8" s="104"/>
      <c r="OJ8" s="104"/>
      <c r="OK8" s="104"/>
      <c r="OL8" s="104"/>
      <c r="OM8" s="104"/>
      <c r="ON8" s="104"/>
      <c r="OO8" s="104"/>
      <c r="OP8" s="104"/>
      <c r="OQ8" s="104"/>
      <c r="OR8" s="104"/>
      <c r="OS8" s="104"/>
      <c r="OT8" s="104"/>
      <c r="OU8" s="104"/>
      <c r="OV8" s="104"/>
      <c r="OW8" s="104"/>
      <c r="OX8" s="104"/>
      <c r="OY8" s="104"/>
      <c r="OZ8" s="104"/>
      <c r="PA8" s="104"/>
      <c r="PB8" s="104"/>
      <c r="PC8" s="104"/>
      <c r="PD8" s="104"/>
      <c r="PE8" s="104"/>
      <c r="PF8" s="104"/>
      <c r="PG8" s="104"/>
      <c r="PH8" s="104"/>
      <c r="PI8" s="104"/>
      <c r="PJ8" s="104"/>
      <c r="PK8" s="104"/>
      <c r="PL8" s="104"/>
      <c r="PM8" s="104"/>
      <c r="PN8" s="104"/>
      <c r="PO8" s="104"/>
      <c r="PP8" s="104"/>
      <c r="PQ8" s="104"/>
      <c r="PR8" s="104"/>
      <c r="PS8" s="104"/>
      <c r="PT8" s="104"/>
      <c r="PU8" s="104"/>
      <c r="PV8" s="104"/>
      <c r="PW8" s="104"/>
      <c r="PX8" s="104"/>
      <c r="PY8" s="104"/>
      <c r="PZ8" s="104"/>
      <c r="QA8" s="104"/>
      <c r="QB8" s="104"/>
      <c r="QC8" s="104"/>
      <c r="QD8" s="104"/>
      <c r="QE8" s="104"/>
      <c r="QF8" s="104"/>
      <c r="QG8" s="104"/>
      <c r="QH8" s="104"/>
      <c r="QI8" s="104"/>
      <c r="QJ8" s="104"/>
      <c r="QK8" s="104"/>
      <c r="QL8" s="104"/>
      <c r="QM8" s="104"/>
      <c r="QN8" s="104"/>
      <c r="QO8" s="104"/>
      <c r="QP8" s="104"/>
      <c r="QQ8" s="104"/>
      <c r="QR8" s="104"/>
    </row>
    <row r="9" spans="1:532" ht="46.5" customHeight="1" x14ac:dyDescent="0.4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 s="105"/>
      <c r="AC9" s="105"/>
      <c r="AD9" s="105"/>
      <c r="AE9" s="105"/>
      <c r="AF9" s="105"/>
      <c r="AG9" s="105"/>
      <c r="AH9" s="105"/>
      <c r="AI9" s="105"/>
      <c r="AJ9" s="105"/>
      <c r="AK9" s="105"/>
      <c r="AL9" s="105"/>
      <c r="AM9" s="105"/>
      <c r="AN9" s="105"/>
      <c r="AO9" s="105"/>
      <c r="AP9" s="106"/>
      <c r="AQ9" s="106"/>
      <c r="AR9" s="106"/>
      <c r="AS9" s="106"/>
      <c r="AT9" s="107"/>
      <c r="AU9" s="104"/>
      <c r="AV9" s="105"/>
      <c r="AW9" s="105"/>
      <c r="AX9" s="105"/>
      <c r="AY9" s="105"/>
      <c r="AZ9" s="105"/>
      <c r="BA9" s="105"/>
      <c r="BB9" s="105"/>
      <c r="BC9" s="105"/>
      <c r="BD9" s="105"/>
      <c r="BE9" s="105"/>
      <c r="BF9" s="105"/>
      <c r="BG9" s="105"/>
      <c r="BH9" s="105"/>
      <c r="BI9" s="105"/>
      <c r="BJ9" s="105"/>
      <c r="BK9" s="105"/>
      <c r="BL9" s="105"/>
      <c r="BM9" s="106"/>
      <c r="BN9" s="106"/>
      <c r="BO9" s="106"/>
      <c r="BP9" s="106"/>
      <c r="BQ9" s="107"/>
      <c r="BR9" s="104"/>
      <c r="BS9" s="105"/>
      <c r="BT9" s="105"/>
      <c r="BU9" s="105"/>
      <c r="BV9" s="105"/>
      <c r="BW9" s="105"/>
      <c r="BX9" s="105"/>
      <c r="BY9" s="105"/>
      <c r="BZ9" s="105"/>
      <c r="CA9" s="105"/>
      <c r="CB9" s="105"/>
      <c r="CC9" s="105"/>
      <c r="CD9" s="105"/>
      <c r="CE9" s="105"/>
      <c r="CF9" s="105"/>
      <c r="CG9" s="105"/>
      <c r="CH9" s="105"/>
      <c r="CI9" s="105"/>
      <c r="CJ9" s="106"/>
      <c r="CK9" s="106"/>
      <c r="CL9" s="106"/>
      <c r="CM9" s="106"/>
      <c r="CN9" s="107"/>
      <c r="CO9" s="104"/>
      <c r="CP9" s="105"/>
      <c r="CQ9" s="105"/>
      <c r="CR9" s="105"/>
      <c r="CS9" s="105"/>
      <c r="CT9" s="105"/>
      <c r="CU9" s="105"/>
      <c r="CV9" s="105"/>
      <c r="CW9" s="105"/>
      <c r="CX9" s="105"/>
      <c r="CY9" s="105"/>
      <c r="CZ9" s="105"/>
      <c r="DA9" s="105"/>
      <c r="DB9" s="105"/>
      <c r="DC9" s="105"/>
      <c r="DD9" s="105"/>
      <c r="DE9" s="105"/>
      <c r="DF9" s="105"/>
      <c r="DG9" s="106"/>
      <c r="DH9" s="106"/>
      <c r="DI9" s="106"/>
      <c r="DJ9" s="106"/>
      <c r="DK9" s="107"/>
      <c r="DL9" s="104"/>
      <c r="DM9" s="105"/>
      <c r="DN9" s="105"/>
      <c r="DO9" s="105"/>
      <c r="DP9" s="105"/>
      <c r="DQ9" s="105"/>
      <c r="DR9" s="105"/>
      <c r="DS9" s="105"/>
      <c r="DT9" s="105"/>
      <c r="DU9" s="105"/>
      <c r="DV9" s="105"/>
      <c r="DW9" s="105"/>
      <c r="DX9" s="105"/>
      <c r="DY9" s="105"/>
      <c r="DZ9" s="105"/>
      <c r="EA9" s="105"/>
      <c r="EB9" s="105"/>
      <c r="EC9" s="105"/>
      <c r="ED9" s="106"/>
      <c r="EE9" s="106"/>
      <c r="EF9" s="106"/>
      <c r="EG9" s="106"/>
      <c r="EH9" s="107"/>
      <c r="EI9" s="104"/>
      <c r="EJ9" s="105"/>
      <c r="EK9" s="105"/>
      <c r="EL9" s="105"/>
      <c r="EM9" s="105"/>
      <c r="EN9" s="105"/>
      <c r="EO9" s="105"/>
      <c r="EP9" s="105"/>
      <c r="EQ9" s="105"/>
      <c r="ER9" s="105"/>
      <c r="ES9" s="105"/>
      <c r="ET9" s="105"/>
      <c r="EU9" s="105"/>
      <c r="EV9" s="105"/>
      <c r="EW9" s="105"/>
      <c r="EX9" s="105"/>
      <c r="EY9" s="105"/>
      <c r="EZ9" s="105"/>
      <c r="FA9" s="106"/>
      <c r="FB9" s="106"/>
      <c r="FC9" s="106"/>
      <c r="FD9" s="106"/>
      <c r="FE9" s="107"/>
      <c r="FF9" s="104"/>
      <c r="FG9" s="105"/>
      <c r="FH9" s="105"/>
      <c r="FI9" s="105"/>
      <c r="FJ9" s="105"/>
      <c r="FK9" s="105"/>
      <c r="FL9" s="105"/>
      <c r="FM9" s="105"/>
      <c r="FN9" s="105"/>
      <c r="FO9" s="105"/>
      <c r="FP9" s="105"/>
      <c r="FQ9" s="105"/>
      <c r="FR9" s="105"/>
      <c r="FS9" s="105"/>
      <c r="FT9" s="105"/>
      <c r="FU9" s="105"/>
      <c r="FV9" s="105"/>
      <c r="FW9" s="105"/>
      <c r="FX9" s="106"/>
      <c r="FY9" s="106"/>
      <c r="FZ9" s="106"/>
      <c r="GA9" s="106"/>
      <c r="GB9" s="107"/>
      <c r="GC9" s="104"/>
      <c r="GD9" s="105"/>
      <c r="GE9" s="105"/>
      <c r="GF9" s="105"/>
      <c r="GG9" s="105"/>
      <c r="GH9" s="105"/>
      <c r="GI9" s="105"/>
      <c r="GJ9" s="105"/>
      <c r="GK9" s="105"/>
      <c r="GL9" s="105"/>
      <c r="GM9" s="105"/>
      <c r="GN9" s="105"/>
      <c r="GO9" s="105"/>
      <c r="GP9" s="105"/>
      <c r="GQ9" s="105"/>
      <c r="GR9" s="105"/>
      <c r="GS9" s="105"/>
      <c r="GT9" s="105"/>
      <c r="GU9" s="106"/>
      <c r="GV9" s="106"/>
      <c r="GW9" s="106"/>
      <c r="GX9" s="106"/>
      <c r="GY9" s="107"/>
      <c r="GZ9" s="104"/>
      <c r="HA9" s="105"/>
      <c r="HB9" s="105"/>
      <c r="HC9" s="105"/>
      <c r="HD9" s="105"/>
      <c r="HE9" s="105"/>
      <c r="HF9" s="105"/>
      <c r="HG9" s="105"/>
      <c r="HH9" s="105"/>
      <c r="HI9" s="105"/>
      <c r="HJ9" s="105"/>
      <c r="HK9" s="105"/>
      <c r="HL9" s="105"/>
      <c r="HM9" s="105"/>
      <c r="HN9" s="105"/>
      <c r="HO9" s="105"/>
      <c r="HP9" s="105"/>
      <c r="HQ9" s="105"/>
      <c r="HR9" s="106"/>
      <c r="HS9" s="106"/>
      <c r="HT9" s="106"/>
      <c r="HU9" s="106"/>
      <c r="HV9" s="107"/>
      <c r="HW9" s="104"/>
      <c r="HX9" s="105"/>
      <c r="HY9" s="105"/>
      <c r="HZ9" s="105"/>
      <c r="IA9" s="105"/>
      <c r="IB9" s="105"/>
      <c r="IC9" s="105"/>
      <c r="ID9" s="105"/>
      <c r="IE9" s="105"/>
      <c r="IF9" s="105"/>
      <c r="IG9" s="105"/>
      <c r="IH9" s="105"/>
      <c r="II9" s="105"/>
      <c r="IJ9" s="105"/>
      <c r="IK9" s="105"/>
      <c r="IL9" s="105"/>
      <c r="IM9" s="105"/>
      <c r="IN9" s="105"/>
      <c r="IO9" s="106"/>
      <c r="IP9" s="106"/>
      <c r="IQ9" s="106"/>
      <c r="IR9" s="106"/>
      <c r="IS9" s="107"/>
      <c r="IT9" s="104"/>
      <c r="IU9" s="105"/>
      <c r="IV9" s="105"/>
      <c r="IW9" s="105"/>
      <c r="IX9" s="105"/>
      <c r="IY9" s="105"/>
      <c r="IZ9" s="105"/>
      <c r="JA9" s="105"/>
      <c r="JB9" s="105"/>
      <c r="JC9" s="105"/>
      <c r="JD9" s="105"/>
      <c r="JE9" s="105"/>
      <c r="JF9" s="105"/>
      <c r="JG9" s="105"/>
      <c r="JH9" s="105"/>
      <c r="JI9" s="105"/>
      <c r="JJ9" s="105"/>
      <c r="JK9" s="105"/>
      <c r="JL9" s="106"/>
      <c r="JM9" s="106"/>
      <c r="JN9" s="106"/>
      <c r="JO9" s="106"/>
      <c r="JP9" s="107"/>
      <c r="JQ9" s="104"/>
      <c r="JR9" s="105"/>
      <c r="JS9" s="105"/>
      <c r="JT9" s="105"/>
      <c r="JU9" s="105"/>
      <c r="JV9" s="105"/>
      <c r="JW9" s="105"/>
      <c r="JX9" s="105"/>
      <c r="JY9" s="105"/>
      <c r="JZ9" s="105"/>
      <c r="KA9" s="105"/>
      <c r="KB9" s="105"/>
      <c r="KC9" s="105"/>
      <c r="KD9" s="105"/>
      <c r="KE9" s="105"/>
      <c r="KF9" s="105"/>
      <c r="KG9" s="105"/>
      <c r="KH9" s="105"/>
      <c r="KI9" s="106"/>
      <c r="KJ9" s="106"/>
      <c r="KK9" s="106"/>
      <c r="KL9" s="106"/>
      <c r="KM9" s="107"/>
      <c r="KN9" s="104"/>
      <c r="KO9" s="105"/>
      <c r="KP9" s="105"/>
      <c r="KQ9" s="105"/>
      <c r="KR9" s="105"/>
      <c r="KS9" s="105"/>
      <c r="KT9" s="105"/>
      <c r="KU9" s="105"/>
      <c r="KV9" s="105"/>
      <c r="KW9" s="105"/>
      <c r="KX9" s="105"/>
      <c r="KY9" s="105"/>
      <c r="KZ9" s="105"/>
      <c r="LA9" s="105"/>
      <c r="LB9" s="105"/>
      <c r="LC9" s="105"/>
      <c r="LD9" s="105"/>
      <c r="LE9" s="105"/>
      <c r="LF9" s="106"/>
      <c r="LG9" s="106"/>
      <c r="LH9" s="106"/>
      <c r="LI9" s="106"/>
      <c r="LJ9" s="107"/>
      <c r="LK9" s="104"/>
      <c r="LL9" s="105"/>
      <c r="LM9" s="105"/>
      <c r="LN9" s="105"/>
      <c r="LO9" s="105"/>
      <c r="LP9" s="105"/>
      <c r="LQ9" s="105"/>
      <c r="LR9" s="105"/>
      <c r="LS9" s="105"/>
      <c r="LT9" s="105"/>
      <c r="LU9" s="105"/>
      <c r="LV9" s="105"/>
      <c r="LW9" s="105"/>
      <c r="LX9" s="105"/>
      <c r="LY9" s="105"/>
      <c r="LZ9" s="105"/>
      <c r="MA9" s="105"/>
      <c r="MB9" s="105"/>
      <c r="MC9" s="106"/>
      <c r="MD9" s="106"/>
      <c r="ME9" s="106"/>
      <c r="MF9" s="106"/>
      <c r="MG9" s="107"/>
      <c r="MH9" s="104"/>
      <c r="MI9" s="105"/>
      <c r="MJ9" s="105"/>
      <c r="MK9" s="105"/>
      <c r="ML9" s="105"/>
      <c r="MM9" s="105"/>
      <c r="MN9" s="105"/>
      <c r="MO9" s="105"/>
      <c r="MP9" s="105"/>
      <c r="MQ9" s="105"/>
      <c r="MR9" s="105"/>
      <c r="MS9" s="105"/>
      <c r="MT9" s="105"/>
      <c r="MU9" s="105"/>
      <c r="MV9" s="105"/>
      <c r="MW9" s="105"/>
      <c r="MX9" s="105"/>
      <c r="MY9" s="105"/>
      <c r="MZ9" s="106"/>
      <c r="NA9" s="106"/>
      <c r="NB9" s="106"/>
      <c r="NC9" s="106"/>
      <c r="ND9" s="107"/>
      <c r="NE9" s="104"/>
      <c r="NF9" s="105"/>
      <c r="NG9" s="105"/>
      <c r="NH9" s="105"/>
      <c r="NI9" s="105"/>
      <c r="NJ9" s="105"/>
      <c r="NK9" s="105"/>
      <c r="NL9" s="105"/>
      <c r="NM9" s="105"/>
      <c r="NN9" s="105"/>
      <c r="NO9" s="105"/>
      <c r="NP9" s="105"/>
      <c r="NQ9" s="105"/>
      <c r="NR9" s="105"/>
      <c r="NS9" s="105"/>
      <c r="NT9" s="105"/>
      <c r="NU9" s="105"/>
      <c r="NV9" s="105"/>
      <c r="NW9" s="106"/>
      <c r="NX9" s="106"/>
      <c r="NY9" s="106"/>
      <c r="NZ9" s="106"/>
      <c r="OA9" s="107"/>
      <c r="OB9" s="104"/>
      <c r="OC9" s="105"/>
      <c r="OD9" s="105"/>
      <c r="OE9" s="105"/>
      <c r="OF9" s="105"/>
      <c r="OG9" s="105"/>
      <c r="OH9" s="105"/>
      <c r="OI9" s="105"/>
      <c r="OJ9" s="105"/>
      <c r="OK9" s="105"/>
      <c r="OL9" s="105"/>
      <c r="OM9" s="105"/>
      <c r="ON9" s="105"/>
      <c r="OO9" s="105"/>
      <c r="OP9" s="105"/>
      <c r="OQ9" s="105"/>
      <c r="OR9" s="105"/>
      <c r="OS9" s="105"/>
      <c r="OT9" s="106"/>
      <c r="OU9" s="106"/>
      <c r="OV9" s="106"/>
      <c r="OW9" s="106"/>
      <c r="OX9" s="107"/>
      <c r="OY9" s="104"/>
      <c r="OZ9" s="105"/>
      <c r="PA9" s="105"/>
      <c r="PB9" s="105"/>
      <c r="PC9" s="105"/>
      <c r="PD9" s="105"/>
      <c r="PE9" s="105"/>
      <c r="PF9" s="105"/>
      <c r="PG9" s="105"/>
      <c r="PH9" s="105"/>
      <c r="PI9" s="105"/>
      <c r="PJ9" s="105"/>
      <c r="PK9" s="105"/>
      <c r="PL9" s="105"/>
      <c r="PM9" s="105"/>
      <c r="PN9" s="105"/>
      <c r="PO9" s="105"/>
      <c r="PP9" s="105"/>
      <c r="PQ9" s="106"/>
      <c r="PR9" s="106"/>
      <c r="PS9" s="106"/>
      <c r="PT9" s="106"/>
      <c r="PU9" s="107"/>
      <c r="PV9" s="104"/>
      <c r="PW9" s="105"/>
      <c r="PX9" s="105"/>
      <c r="PY9" s="105"/>
      <c r="PZ9" s="105"/>
      <c r="QA9" s="105"/>
      <c r="QB9" s="105"/>
      <c r="QC9" s="105"/>
      <c r="QD9" s="105"/>
      <c r="QE9" s="105"/>
      <c r="QF9" s="105"/>
      <c r="QG9" s="105"/>
      <c r="QH9" s="105"/>
      <c r="QI9" s="105"/>
      <c r="QJ9" s="105"/>
      <c r="QK9" s="105"/>
      <c r="QL9" s="105"/>
      <c r="QM9" s="105"/>
      <c r="QN9" s="106"/>
      <c r="QO9" s="106"/>
      <c r="QP9" s="106"/>
      <c r="QQ9" s="106"/>
      <c r="QR9" s="107"/>
    </row>
    <row r="10" spans="1:532" ht="45" customHeight="1" x14ac:dyDescent="0.4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 s="105"/>
      <c r="AC10" s="105"/>
      <c r="AD10" s="105"/>
      <c r="AE10" s="105"/>
      <c r="AF10" s="105"/>
      <c r="AG10" s="105"/>
      <c r="AH10" s="105"/>
      <c r="AI10" s="105"/>
      <c r="AJ10" s="105"/>
      <c r="AK10" s="105"/>
      <c r="AL10" s="105"/>
      <c r="AM10" s="105"/>
      <c r="AN10" s="105"/>
      <c r="AO10" s="105"/>
      <c r="AP10" s="106"/>
      <c r="AQ10" s="106"/>
      <c r="AR10" s="106"/>
      <c r="AS10" s="106"/>
      <c r="AT10" s="107"/>
      <c r="AU10" s="104"/>
      <c r="AV10" s="105"/>
      <c r="AW10" s="105"/>
      <c r="AX10" s="105"/>
      <c r="AY10" s="105"/>
      <c r="AZ10" s="105"/>
      <c r="BA10" s="105"/>
      <c r="BB10" s="105"/>
      <c r="BC10" s="105"/>
      <c r="BD10" s="105"/>
      <c r="BE10" s="105"/>
      <c r="BF10" s="105"/>
      <c r="BG10" s="105"/>
      <c r="BH10" s="105"/>
      <c r="BI10" s="105"/>
      <c r="BJ10" s="105"/>
      <c r="BK10" s="105"/>
      <c r="BL10" s="105"/>
      <c r="BM10" s="106"/>
      <c r="BN10" s="106"/>
      <c r="BO10" s="106"/>
      <c r="BP10" s="106"/>
      <c r="BQ10" s="107"/>
      <c r="BR10" s="104"/>
      <c r="BS10" s="105"/>
      <c r="BT10" s="105"/>
      <c r="BU10" s="105"/>
      <c r="BV10" s="105"/>
      <c r="BW10" s="105"/>
      <c r="BX10" s="105"/>
      <c r="BY10" s="105"/>
      <c r="BZ10" s="105"/>
      <c r="CA10" s="105"/>
      <c r="CB10" s="105"/>
      <c r="CC10" s="105"/>
      <c r="CD10" s="105"/>
      <c r="CE10" s="105"/>
      <c r="CF10" s="105"/>
      <c r="CG10" s="105"/>
      <c r="CH10" s="105"/>
      <c r="CI10" s="105"/>
      <c r="CJ10" s="106"/>
      <c r="CK10" s="106"/>
      <c r="CL10" s="106"/>
      <c r="CM10" s="106"/>
      <c r="CN10" s="107"/>
      <c r="CO10" s="104"/>
      <c r="CP10" s="105"/>
      <c r="CQ10" s="105"/>
      <c r="CR10" s="105"/>
      <c r="CS10" s="105"/>
      <c r="CT10" s="105"/>
      <c r="CU10" s="105"/>
      <c r="CV10" s="105"/>
      <c r="CW10" s="105"/>
      <c r="CX10" s="105"/>
      <c r="CY10" s="105"/>
      <c r="CZ10" s="105"/>
      <c r="DA10" s="105"/>
      <c r="DB10" s="105"/>
      <c r="DC10" s="105"/>
      <c r="DD10" s="105"/>
      <c r="DE10" s="105"/>
      <c r="DF10" s="105"/>
      <c r="DG10" s="106"/>
      <c r="DH10" s="106"/>
      <c r="DI10" s="106"/>
      <c r="DJ10" s="106"/>
      <c r="DK10" s="107"/>
      <c r="DL10" s="104"/>
      <c r="DM10" s="105"/>
      <c r="DN10" s="105"/>
      <c r="DO10" s="105"/>
      <c r="DP10" s="105"/>
      <c r="DQ10" s="105"/>
      <c r="DR10" s="105"/>
      <c r="DS10" s="105"/>
      <c r="DT10" s="105"/>
      <c r="DU10" s="105"/>
      <c r="DV10" s="105"/>
      <c r="DW10" s="105"/>
      <c r="DX10" s="105"/>
      <c r="DY10" s="105"/>
      <c r="DZ10" s="105"/>
      <c r="EA10" s="105"/>
      <c r="EB10" s="105"/>
      <c r="EC10" s="105"/>
      <c r="ED10" s="106"/>
      <c r="EE10" s="106"/>
      <c r="EF10" s="106"/>
      <c r="EG10" s="106"/>
      <c r="EH10" s="107"/>
      <c r="EI10" s="104"/>
      <c r="EJ10" s="105"/>
      <c r="EK10" s="105"/>
      <c r="EL10" s="105"/>
      <c r="EM10" s="105"/>
      <c r="EN10" s="105"/>
      <c r="EO10" s="105"/>
      <c r="EP10" s="105"/>
      <c r="EQ10" s="105"/>
      <c r="ER10" s="105"/>
      <c r="ES10" s="105"/>
      <c r="ET10" s="105"/>
      <c r="EU10" s="105"/>
      <c r="EV10" s="105"/>
      <c r="EW10" s="105"/>
      <c r="EX10" s="105"/>
      <c r="EY10" s="105"/>
      <c r="EZ10" s="105"/>
      <c r="FA10" s="105"/>
      <c r="FB10" s="105"/>
      <c r="FC10" s="105"/>
      <c r="FD10" s="105"/>
      <c r="FE10" s="105"/>
      <c r="FF10" s="104"/>
      <c r="FG10" s="105"/>
      <c r="FH10" s="105"/>
      <c r="FI10" s="105"/>
      <c r="FJ10" s="105"/>
      <c r="FK10" s="105"/>
      <c r="FL10" s="105"/>
      <c r="FM10" s="105"/>
      <c r="FN10" s="105"/>
      <c r="FO10" s="105"/>
      <c r="FP10" s="105"/>
      <c r="FQ10" s="105"/>
      <c r="FR10" s="105"/>
      <c r="FS10" s="105"/>
      <c r="FT10" s="105"/>
      <c r="FU10" s="105"/>
      <c r="FV10" s="105"/>
      <c r="FW10" s="105"/>
      <c r="FX10" s="105"/>
      <c r="FY10" s="105"/>
      <c r="FZ10" s="105"/>
      <c r="GA10" s="105"/>
      <c r="GB10" s="105"/>
      <c r="GC10" s="104"/>
      <c r="GD10" s="105"/>
      <c r="GE10" s="105"/>
      <c r="GF10" s="105"/>
      <c r="GG10" s="105"/>
      <c r="GH10" s="105"/>
      <c r="GI10" s="105"/>
      <c r="GJ10" s="105"/>
      <c r="GK10" s="105"/>
      <c r="GL10" s="105"/>
      <c r="GM10" s="105"/>
      <c r="GN10" s="105"/>
      <c r="GO10" s="105"/>
      <c r="GP10" s="105"/>
      <c r="GQ10" s="105"/>
      <c r="GR10" s="105"/>
      <c r="GS10" s="105"/>
      <c r="GT10" s="105"/>
      <c r="GU10" s="105"/>
      <c r="GV10" s="105"/>
      <c r="GW10" s="105"/>
      <c r="GX10" s="105"/>
      <c r="GY10" s="105"/>
      <c r="GZ10" s="104"/>
      <c r="HA10" s="105"/>
      <c r="HB10" s="105"/>
      <c r="HC10" s="105"/>
      <c r="HD10" s="105"/>
      <c r="HE10" s="105"/>
      <c r="HF10" s="105"/>
      <c r="HG10" s="105"/>
      <c r="HH10" s="105"/>
      <c r="HI10" s="105"/>
      <c r="HJ10" s="105"/>
      <c r="HK10" s="105"/>
      <c r="HL10" s="105"/>
      <c r="HM10" s="105"/>
      <c r="HN10" s="105"/>
      <c r="HO10" s="105"/>
      <c r="HP10" s="105"/>
      <c r="HQ10" s="105"/>
      <c r="HR10" s="106"/>
      <c r="HS10" s="106"/>
      <c r="HT10" s="106"/>
      <c r="HU10" s="106"/>
      <c r="HV10" s="107"/>
      <c r="HW10" s="104"/>
      <c r="HX10" s="105"/>
      <c r="HY10" s="105"/>
      <c r="HZ10" s="105"/>
      <c r="IA10" s="105"/>
      <c r="IB10" s="105"/>
      <c r="IC10" s="105"/>
      <c r="ID10" s="105"/>
      <c r="IE10" s="105"/>
      <c r="IF10" s="105"/>
      <c r="IG10" s="105"/>
      <c r="IH10" s="105"/>
      <c r="II10" s="105"/>
      <c r="IJ10" s="105"/>
      <c r="IK10" s="105"/>
      <c r="IL10" s="105"/>
      <c r="IM10" s="105"/>
      <c r="IN10" s="105"/>
      <c r="IO10" s="106"/>
      <c r="IP10" s="106"/>
      <c r="IQ10" s="106"/>
      <c r="IR10" s="106"/>
      <c r="IS10" s="107"/>
      <c r="IT10" s="104"/>
      <c r="IU10" s="105"/>
      <c r="IV10" s="105"/>
      <c r="IW10" s="105"/>
      <c r="IX10" s="105"/>
      <c r="IY10" s="105"/>
      <c r="IZ10" s="105"/>
      <c r="JA10" s="105"/>
      <c r="JB10" s="105"/>
      <c r="JC10" s="105"/>
      <c r="JD10" s="105"/>
      <c r="JE10" s="105"/>
      <c r="JF10" s="105"/>
      <c r="JG10" s="105"/>
      <c r="JH10" s="105"/>
      <c r="JI10" s="105"/>
      <c r="JJ10" s="105"/>
      <c r="JK10" s="105"/>
      <c r="JL10" s="106"/>
      <c r="JM10" s="106"/>
      <c r="JN10" s="106"/>
      <c r="JO10" s="106"/>
      <c r="JP10" s="107"/>
      <c r="JQ10" s="104"/>
      <c r="JR10" s="105"/>
      <c r="JS10" s="105"/>
      <c r="JT10" s="105"/>
      <c r="JU10" s="105"/>
      <c r="JV10" s="105"/>
      <c r="JW10" s="105"/>
      <c r="JX10" s="105"/>
      <c r="JY10" s="105"/>
      <c r="JZ10" s="105"/>
      <c r="KA10" s="105"/>
      <c r="KB10" s="105"/>
      <c r="KC10" s="105"/>
      <c r="KD10" s="105"/>
      <c r="KE10" s="105"/>
      <c r="KF10" s="105"/>
      <c r="KG10" s="105"/>
      <c r="KH10" s="105"/>
      <c r="KI10" s="106"/>
      <c r="KJ10" s="106"/>
      <c r="KK10" s="106"/>
      <c r="KL10" s="106"/>
      <c r="KM10" s="107"/>
      <c r="KN10" s="104"/>
      <c r="KO10" s="105"/>
      <c r="KP10" s="105"/>
      <c r="KQ10" s="105"/>
      <c r="KR10" s="105"/>
      <c r="KS10" s="105"/>
      <c r="KT10" s="105"/>
      <c r="KU10" s="105"/>
      <c r="KV10" s="105"/>
      <c r="KW10" s="105"/>
      <c r="KX10" s="105"/>
      <c r="KY10" s="105"/>
      <c r="KZ10" s="105"/>
      <c r="LA10" s="105"/>
      <c r="LB10" s="105"/>
      <c r="LC10" s="105"/>
      <c r="LD10" s="105"/>
      <c r="LE10" s="105"/>
      <c r="LF10" s="106"/>
      <c r="LG10" s="106"/>
      <c r="LH10" s="106"/>
      <c r="LI10" s="106"/>
      <c r="LJ10" s="107"/>
      <c r="LK10" s="104"/>
      <c r="LL10" s="105"/>
      <c r="LM10" s="105"/>
      <c r="LN10" s="105"/>
      <c r="LO10" s="105"/>
      <c r="LP10" s="105"/>
      <c r="LQ10" s="105"/>
      <c r="LR10" s="105"/>
      <c r="LS10" s="105"/>
      <c r="LT10" s="105"/>
      <c r="LU10" s="105"/>
      <c r="LV10" s="105"/>
      <c r="LW10" s="105"/>
      <c r="LX10" s="105"/>
      <c r="LY10" s="105"/>
      <c r="LZ10" s="105"/>
      <c r="MA10" s="105"/>
      <c r="MB10" s="105"/>
      <c r="MC10" s="106"/>
      <c r="MD10" s="106"/>
      <c r="ME10" s="106"/>
      <c r="MF10" s="106"/>
      <c r="MG10" s="107"/>
      <c r="MH10" s="104"/>
      <c r="MI10" s="105"/>
      <c r="MJ10" s="105"/>
      <c r="MK10" s="105"/>
      <c r="ML10" s="105"/>
      <c r="MM10" s="105"/>
      <c r="MN10" s="105"/>
      <c r="MO10" s="105"/>
      <c r="MP10" s="105"/>
      <c r="MQ10" s="105"/>
      <c r="MR10" s="105"/>
      <c r="MS10" s="105"/>
      <c r="MT10" s="105"/>
      <c r="MU10" s="105"/>
      <c r="MV10" s="105"/>
      <c r="MW10" s="105"/>
      <c r="MX10" s="105"/>
      <c r="MY10" s="105"/>
      <c r="MZ10" s="106"/>
      <c r="NA10" s="106"/>
      <c r="NB10" s="106"/>
      <c r="NC10" s="106"/>
      <c r="ND10" s="107"/>
      <c r="NE10" s="104"/>
      <c r="NF10" s="105"/>
      <c r="NG10" s="105"/>
      <c r="NH10" s="105"/>
      <c r="NI10" s="105"/>
      <c r="NJ10" s="105"/>
      <c r="NK10" s="105"/>
      <c r="NL10" s="105"/>
      <c r="NM10" s="105"/>
      <c r="NN10" s="105"/>
      <c r="NO10" s="105"/>
      <c r="NP10" s="105"/>
      <c r="NQ10" s="105"/>
      <c r="NR10" s="105"/>
      <c r="NS10" s="105"/>
      <c r="NT10" s="105"/>
      <c r="NU10" s="105"/>
      <c r="NV10" s="105"/>
      <c r="NW10" s="106"/>
      <c r="NX10" s="106"/>
      <c r="NY10" s="106"/>
      <c r="NZ10" s="106"/>
      <c r="OA10" s="107"/>
      <c r="OB10" s="104"/>
      <c r="OC10" s="105"/>
      <c r="OD10" s="105"/>
      <c r="OE10" s="105"/>
      <c r="OF10" s="105"/>
      <c r="OG10" s="105"/>
      <c r="OH10" s="105"/>
      <c r="OI10" s="105"/>
      <c r="OJ10" s="105"/>
      <c r="OK10" s="105"/>
      <c r="OL10" s="105"/>
      <c r="OM10" s="105"/>
      <c r="ON10" s="105"/>
      <c r="OO10" s="105"/>
      <c r="OP10" s="105"/>
      <c r="OQ10" s="105"/>
      <c r="OR10" s="105"/>
      <c r="OS10" s="105"/>
      <c r="OT10" s="106"/>
      <c r="OU10" s="106"/>
      <c r="OV10" s="106"/>
      <c r="OW10" s="106"/>
      <c r="OX10" s="107"/>
      <c r="OY10" s="104"/>
      <c r="OZ10" s="105"/>
      <c r="PA10" s="105"/>
      <c r="PB10" s="105"/>
      <c r="PC10" s="105"/>
      <c r="PD10" s="105"/>
      <c r="PE10" s="105"/>
      <c r="PF10" s="105"/>
      <c r="PG10" s="105"/>
      <c r="PH10" s="105"/>
      <c r="PI10" s="105"/>
      <c r="PJ10" s="105"/>
      <c r="PK10" s="105"/>
      <c r="PL10" s="105"/>
      <c r="PM10" s="105"/>
      <c r="PN10" s="105"/>
      <c r="PO10" s="105"/>
      <c r="PP10" s="105"/>
      <c r="PQ10" s="106"/>
      <c r="PR10" s="106"/>
      <c r="PS10" s="106"/>
      <c r="PT10" s="106"/>
      <c r="PU10" s="107"/>
      <c r="PV10" s="104"/>
      <c r="PW10" s="105"/>
      <c r="PX10" s="105"/>
      <c r="PY10" s="105"/>
      <c r="PZ10" s="105"/>
      <c r="QA10" s="105"/>
      <c r="QB10" s="105"/>
      <c r="QC10" s="105"/>
      <c r="QD10" s="105"/>
      <c r="QE10" s="105"/>
      <c r="QF10" s="105"/>
      <c r="QG10" s="105"/>
      <c r="QH10" s="105"/>
      <c r="QI10" s="105"/>
      <c r="QJ10" s="105"/>
      <c r="QK10" s="105"/>
      <c r="QL10" s="105"/>
      <c r="QM10" s="105"/>
      <c r="QN10" s="106"/>
      <c r="QO10" s="106"/>
      <c r="QP10" s="106"/>
      <c r="QQ10" s="106"/>
      <c r="QR10" s="107"/>
    </row>
    <row r="11" spans="1:532" ht="45" customHeight="1" x14ac:dyDescent="0.4">
      <c r="A11" s="124" t="s">
        <v>39</v>
      </c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 s="105"/>
      <c r="AC11" s="105"/>
      <c r="AD11" s="105"/>
      <c r="AE11" s="105"/>
      <c r="AF11" s="105"/>
      <c r="AG11" s="105"/>
      <c r="AH11" s="105"/>
      <c r="AI11" s="105"/>
      <c r="AJ11" s="105"/>
      <c r="AK11" s="105"/>
      <c r="AL11" s="105"/>
      <c r="AM11" s="105"/>
      <c r="AN11" s="105"/>
      <c r="AO11" s="105"/>
      <c r="AP11" s="106"/>
      <c r="AQ11" s="106"/>
      <c r="AR11" s="106"/>
      <c r="AS11" s="106"/>
      <c r="AT11" s="107"/>
      <c r="AU11" s="104"/>
      <c r="AV11" s="105"/>
      <c r="AW11" s="105"/>
      <c r="AX11" s="105"/>
      <c r="AY11" s="105"/>
      <c r="AZ11" s="105"/>
      <c r="BA11" s="105"/>
      <c r="BB11" s="105"/>
      <c r="BC11" s="105"/>
      <c r="BD11" s="105"/>
      <c r="BE11" s="105"/>
      <c r="BF11" s="105"/>
      <c r="BG11" s="105"/>
      <c r="BH11" s="105"/>
      <c r="BI11" s="105"/>
      <c r="BJ11" s="105"/>
      <c r="BK11" s="105"/>
      <c r="BL11" s="105"/>
      <c r="BM11" s="106"/>
      <c r="BN11" s="106"/>
      <c r="BO11" s="106"/>
      <c r="BP11" s="106"/>
      <c r="BQ11" s="107"/>
      <c r="BR11" s="104"/>
      <c r="BS11" s="105"/>
      <c r="BT11" s="105"/>
      <c r="BU11" s="105"/>
      <c r="BV11" s="105"/>
      <c r="BW11" s="105"/>
      <c r="BX11" s="105"/>
      <c r="BY11" s="105"/>
      <c r="BZ11" s="105"/>
      <c r="CA11" s="105"/>
      <c r="CB11" s="105"/>
      <c r="CC11" s="105"/>
      <c r="CD11" s="105"/>
      <c r="CE11" s="105"/>
      <c r="CF11" s="105"/>
      <c r="CG11" s="105"/>
      <c r="CH11" s="105"/>
      <c r="CI11" s="105"/>
      <c r="CJ11" s="106"/>
      <c r="CK11" s="106"/>
      <c r="CL11" s="106"/>
      <c r="CM11" s="106"/>
      <c r="CN11" s="107"/>
      <c r="CO11" s="104"/>
      <c r="CP11" s="105"/>
      <c r="CQ11" s="105"/>
      <c r="CR11" s="105"/>
      <c r="CS11" s="105"/>
      <c r="CT11" s="105"/>
      <c r="CU11" s="105"/>
      <c r="CV11" s="105"/>
      <c r="CW11" s="105"/>
      <c r="CX11" s="105"/>
      <c r="CY11" s="105"/>
      <c r="CZ11" s="105"/>
      <c r="DA11" s="105"/>
      <c r="DB11" s="105"/>
      <c r="DC11" s="105"/>
      <c r="DD11" s="105"/>
      <c r="DE11" s="105"/>
      <c r="DF11" s="105"/>
      <c r="DG11" s="106"/>
      <c r="DH11" s="106"/>
      <c r="DI11" s="106"/>
      <c r="DJ11" s="106"/>
      <c r="DK11" s="107"/>
      <c r="DL11" s="104"/>
      <c r="DM11" s="105"/>
      <c r="DN11" s="105"/>
      <c r="DO11" s="105"/>
      <c r="DP11" s="105"/>
      <c r="DQ11" s="105"/>
      <c r="DR11" s="105"/>
      <c r="DS11" s="105"/>
      <c r="DT11" s="105"/>
      <c r="DU11" s="105"/>
      <c r="DV11" s="105"/>
      <c r="DW11" s="105"/>
      <c r="DX11" s="105"/>
      <c r="DY11" s="105"/>
      <c r="DZ11" s="105"/>
      <c r="EA11" s="105"/>
      <c r="EB11" s="105"/>
      <c r="EC11" s="105"/>
      <c r="ED11" s="106"/>
      <c r="EE11" s="106"/>
      <c r="EF11" s="106"/>
      <c r="EG11" s="106"/>
      <c r="EH11" s="107"/>
      <c r="EI11" s="104"/>
      <c r="EJ11" s="105"/>
      <c r="EK11" s="105"/>
      <c r="EL11" s="105"/>
      <c r="EM11" s="105"/>
      <c r="EN11" s="105"/>
      <c r="EO11" s="105"/>
      <c r="EP11" s="105"/>
      <c r="EQ11" s="105"/>
      <c r="ER11" s="105"/>
      <c r="ES11" s="105"/>
      <c r="ET11" s="105"/>
      <c r="EU11" s="105"/>
      <c r="EV11" s="105"/>
      <c r="EW11" s="105"/>
      <c r="EX11" s="105"/>
      <c r="EY11" s="105"/>
      <c r="EZ11" s="105"/>
      <c r="FA11" s="106"/>
      <c r="FB11" s="106"/>
      <c r="FC11" s="106"/>
      <c r="FD11" s="106"/>
      <c r="FE11" s="107"/>
      <c r="FF11" s="104"/>
      <c r="FG11" s="105"/>
      <c r="FH11" s="105"/>
      <c r="FI11" s="105"/>
      <c r="FJ11" s="105"/>
      <c r="FK11" s="105"/>
      <c r="FL11" s="105"/>
      <c r="FM11" s="105"/>
      <c r="FN11" s="105"/>
      <c r="FO11" s="105"/>
      <c r="FP11" s="105"/>
      <c r="FQ11" s="105"/>
      <c r="FR11" s="105"/>
      <c r="FS11" s="105"/>
      <c r="FT11" s="105"/>
      <c r="FU11" s="105"/>
      <c r="FV11" s="105"/>
      <c r="FW11" s="105"/>
      <c r="FX11" s="106"/>
      <c r="FY11" s="106"/>
      <c r="FZ11" s="106"/>
      <c r="GA11" s="106"/>
      <c r="GB11" s="107"/>
      <c r="GC11" s="104"/>
      <c r="GD11" s="105"/>
      <c r="GE11" s="105"/>
      <c r="GF11" s="105"/>
      <c r="GG11" s="105"/>
      <c r="GH11" s="105"/>
      <c r="GI11" s="105"/>
      <c r="GJ11" s="105"/>
      <c r="GK11" s="105"/>
      <c r="GL11" s="105"/>
      <c r="GM11" s="105"/>
      <c r="GN11" s="105"/>
      <c r="GO11" s="105"/>
      <c r="GP11" s="105"/>
      <c r="GQ11" s="105"/>
      <c r="GR11" s="105"/>
      <c r="GS11" s="105"/>
      <c r="GT11" s="105"/>
      <c r="GU11" s="106"/>
      <c r="GV11" s="106"/>
      <c r="GW11" s="106"/>
      <c r="GX11" s="106"/>
      <c r="GY11" s="107"/>
      <c r="GZ11" s="104"/>
      <c r="HA11" s="105"/>
      <c r="HB11" s="105"/>
      <c r="HC11" s="105"/>
      <c r="HD11" s="105"/>
      <c r="HE11" s="105"/>
      <c r="HF11" s="105"/>
      <c r="HG11" s="105"/>
      <c r="HH11" s="105"/>
      <c r="HI11" s="105"/>
      <c r="HJ11" s="105"/>
      <c r="HK11" s="105"/>
      <c r="HL11" s="105"/>
      <c r="HM11" s="105"/>
      <c r="HN11" s="105"/>
      <c r="HO11" s="105"/>
      <c r="HP11" s="105"/>
      <c r="HQ11" s="105"/>
      <c r="HR11" s="106"/>
      <c r="HS11" s="106"/>
      <c r="HT11" s="106"/>
      <c r="HU11" s="106"/>
      <c r="HV11" s="107"/>
      <c r="HW11" s="104"/>
      <c r="HX11" s="105"/>
      <c r="HY11" s="105"/>
      <c r="HZ11" s="105"/>
      <c r="IA11" s="105"/>
      <c r="IB11" s="105"/>
      <c r="IC11" s="105"/>
      <c r="ID11" s="105"/>
      <c r="IE11" s="105"/>
      <c r="IF11" s="105"/>
      <c r="IG11" s="105"/>
      <c r="IH11" s="105"/>
      <c r="II11" s="105"/>
      <c r="IJ11" s="105"/>
      <c r="IK11" s="105"/>
      <c r="IL11" s="105"/>
      <c r="IM11" s="105"/>
      <c r="IN11" s="105"/>
      <c r="IO11" s="106"/>
      <c r="IP11" s="106"/>
      <c r="IQ11" s="106"/>
      <c r="IR11" s="106"/>
      <c r="IS11" s="107"/>
      <c r="IT11" s="104"/>
      <c r="IU11" s="105"/>
      <c r="IV11" s="105"/>
      <c r="IW11" s="105"/>
      <c r="IX11" s="105"/>
      <c r="IY11" s="105"/>
      <c r="IZ11" s="105"/>
      <c r="JA11" s="105"/>
      <c r="JB11" s="105"/>
      <c r="JC11" s="105"/>
      <c r="JD11" s="105"/>
      <c r="JE11" s="105"/>
      <c r="JF11" s="105"/>
      <c r="JG11" s="105"/>
      <c r="JH11" s="105"/>
      <c r="JI11" s="105"/>
      <c r="JJ11" s="105"/>
      <c r="JK11" s="105"/>
      <c r="JL11" s="106"/>
      <c r="JM11" s="106"/>
      <c r="JN11" s="106"/>
      <c r="JO11" s="106"/>
      <c r="JP11" s="107"/>
      <c r="JQ11" s="104"/>
      <c r="JR11" s="105"/>
      <c r="JS11" s="105"/>
      <c r="JT11" s="105"/>
      <c r="JU11" s="105"/>
      <c r="JV11" s="105"/>
      <c r="JW11" s="105"/>
      <c r="JX11" s="105"/>
      <c r="JY11" s="105"/>
      <c r="JZ11" s="105"/>
      <c r="KA11" s="105"/>
      <c r="KB11" s="105"/>
      <c r="KC11" s="105"/>
      <c r="KD11" s="105"/>
      <c r="KE11" s="105"/>
      <c r="KF11" s="105"/>
      <c r="KG11" s="105"/>
      <c r="KH11" s="105"/>
      <c r="KI11" s="106"/>
      <c r="KJ11" s="106"/>
      <c r="KK11" s="106"/>
      <c r="KL11" s="106"/>
      <c r="KM11" s="107"/>
      <c r="KN11" s="104"/>
      <c r="KO11" s="105"/>
      <c r="KP11" s="105"/>
      <c r="KQ11" s="105"/>
      <c r="KR11" s="105"/>
      <c r="KS11" s="105"/>
      <c r="KT11" s="105"/>
      <c r="KU11" s="105"/>
      <c r="KV11" s="105"/>
      <c r="KW11" s="105"/>
      <c r="KX11" s="105"/>
      <c r="KY11" s="105"/>
      <c r="KZ11" s="105"/>
      <c r="LA11" s="105"/>
      <c r="LB11" s="105"/>
      <c r="LC11" s="105"/>
      <c r="LD11" s="105"/>
      <c r="LE11" s="105"/>
      <c r="LF11" s="106"/>
      <c r="LG11" s="106"/>
      <c r="LH11" s="106"/>
      <c r="LI11" s="106"/>
      <c r="LJ11" s="107"/>
      <c r="LK11" s="104"/>
      <c r="LL11" s="105"/>
      <c r="LM11" s="105"/>
      <c r="LN11" s="105"/>
      <c r="LO11" s="105"/>
      <c r="LP11" s="105"/>
      <c r="LQ11" s="105"/>
      <c r="LR11" s="105"/>
      <c r="LS11" s="105"/>
      <c r="LT11" s="105"/>
      <c r="LU11" s="105"/>
      <c r="LV11" s="105"/>
      <c r="LW11" s="105"/>
      <c r="LX11" s="105"/>
      <c r="LY11" s="105"/>
      <c r="LZ11" s="105"/>
      <c r="MA11" s="105"/>
      <c r="MB11" s="105"/>
      <c r="MC11" s="106"/>
      <c r="MD11" s="106"/>
      <c r="ME11" s="106"/>
      <c r="MF11" s="106"/>
      <c r="MG11" s="107"/>
      <c r="MH11" s="104"/>
      <c r="MI11" s="105"/>
      <c r="MJ11" s="105"/>
      <c r="MK11" s="105"/>
      <c r="ML11" s="105"/>
      <c r="MM11" s="105"/>
      <c r="MN11" s="105"/>
      <c r="MO11" s="105"/>
      <c r="MP11" s="105"/>
      <c r="MQ11" s="105"/>
      <c r="MR11" s="105"/>
      <c r="MS11" s="105"/>
      <c r="MT11" s="105"/>
      <c r="MU11" s="105"/>
      <c r="MV11" s="105"/>
      <c r="MW11" s="105"/>
      <c r="MX11" s="105"/>
      <c r="MY11" s="105"/>
      <c r="MZ11" s="106"/>
      <c r="NA11" s="106"/>
      <c r="NB11" s="106"/>
      <c r="NC11" s="106"/>
      <c r="ND11" s="107"/>
      <c r="NE11" s="104"/>
      <c r="NF11" s="105"/>
      <c r="NG11" s="105"/>
      <c r="NH11" s="105"/>
      <c r="NI11" s="105"/>
      <c r="NJ11" s="105"/>
      <c r="NK11" s="105"/>
      <c r="NL11" s="105"/>
      <c r="NM11" s="105"/>
      <c r="NN11" s="105"/>
      <c r="NO11" s="105"/>
      <c r="NP11" s="105"/>
      <c r="NQ11" s="105"/>
      <c r="NR11" s="105"/>
      <c r="NS11" s="105"/>
      <c r="NT11" s="105"/>
      <c r="NU11" s="105"/>
      <c r="NV11" s="105"/>
      <c r="NW11" s="106"/>
      <c r="NX11" s="106"/>
      <c r="NY11" s="106"/>
      <c r="NZ11" s="106"/>
      <c r="OA11" s="107"/>
      <c r="OB11" s="104"/>
      <c r="OC11" s="105"/>
      <c r="OD11" s="105"/>
      <c r="OE11" s="105"/>
      <c r="OF11" s="105"/>
      <c r="OG11" s="105"/>
      <c r="OH11" s="105"/>
      <c r="OI11" s="105"/>
      <c r="OJ11" s="105"/>
      <c r="OK11" s="105"/>
      <c r="OL11" s="105"/>
      <c r="OM11" s="105"/>
      <c r="ON11" s="105"/>
      <c r="OO11" s="105"/>
      <c r="OP11" s="105"/>
      <c r="OQ11" s="105"/>
      <c r="OR11" s="105"/>
      <c r="OS11" s="105"/>
      <c r="OT11" s="106"/>
      <c r="OU11" s="106"/>
      <c r="OV11" s="106"/>
      <c r="OW11" s="106"/>
      <c r="OX11" s="107"/>
      <c r="OY11" s="104"/>
      <c r="OZ11" s="105"/>
      <c r="PA11" s="105"/>
      <c r="PB11" s="105"/>
      <c r="PC11" s="105"/>
      <c r="PD11" s="105"/>
      <c r="PE11" s="105"/>
      <c r="PF11" s="105"/>
      <c r="PG11" s="105"/>
      <c r="PH11" s="105"/>
      <c r="PI11" s="105"/>
      <c r="PJ11" s="105"/>
      <c r="PK11" s="105"/>
      <c r="PL11" s="105"/>
      <c r="PM11" s="105"/>
      <c r="PN11" s="105"/>
      <c r="PO11" s="105"/>
      <c r="PP11" s="105"/>
      <c r="PQ11" s="106"/>
      <c r="PR11" s="106"/>
      <c r="PS11" s="106"/>
      <c r="PT11" s="106"/>
      <c r="PU11" s="107"/>
      <c r="PV11" s="104"/>
      <c r="PW11" s="105"/>
      <c r="PX11" s="105"/>
      <c r="PY11" s="105"/>
      <c r="PZ11" s="105"/>
      <c r="QA11" s="105"/>
      <c r="QB11" s="105"/>
      <c r="QC11" s="105"/>
      <c r="QD11" s="105"/>
      <c r="QE11" s="105"/>
      <c r="QF11" s="105"/>
      <c r="QG11" s="105"/>
      <c r="QH11" s="105"/>
      <c r="QI11" s="105"/>
      <c r="QJ11" s="105"/>
      <c r="QK11" s="105"/>
      <c r="QL11" s="105"/>
      <c r="QM11" s="105"/>
      <c r="QN11" s="106"/>
      <c r="QO11" s="106"/>
      <c r="QP11" s="106"/>
      <c r="QQ11" s="106"/>
      <c r="QR11" s="107"/>
    </row>
    <row r="12" spans="1:532" ht="45" customHeight="1" x14ac:dyDescent="0.45">
      <c r="A12" s="124" t="s">
        <v>28</v>
      </c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 s="125" t="s">
        <v>33</v>
      </c>
      <c r="AB12" s="105"/>
      <c r="AC12" s="105"/>
      <c r="AD12" s="105"/>
      <c r="AE12" s="105"/>
      <c r="AF12" s="105"/>
      <c r="AG12" s="105"/>
      <c r="AH12" s="105"/>
      <c r="AI12" s="105"/>
      <c r="AJ12" s="105"/>
      <c r="AK12" s="105"/>
      <c r="AL12" s="105"/>
      <c r="AM12" s="105"/>
      <c r="AN12" s="105"/>
      <c r="AO12" s="105"/>
      <c r="AP12" s="106"/>
      <c r="AQ12" s="106"/>
      <c r="AR12" s="106"/>
      <c r="AS12" s="106"/>
      <c r="AT12" s="107"/>
      <c r="AU12" s="104"/>
      <c r="AV12" s="105"/>
      <c r="AW12" s="105"/>
      <c r="AX12" s="105"/>
      <c r="AY12" s="105"/>
      <c r="AZ12" s="105"/>
      <c r="BA12" s="105"/>
      <c r="BB12" s="105"/>
      <c r="BC12" s="105"/>
      <c r="BD12" s="105"/>
      <c r="BE12" s="105"/>
      <c r="BF12" s="105"/>
      <c r="BG12" s="105"/>
      <c r="BH12" s="105"/>
      <c r="BI12" s="105"/>
      <c r="BJ12" s="105"/>
      <c r="BK12" s="105"/>
      <c r="BL12" s="105"/>
      <c r="BM12" s="106"/>
      <c r="BN12" s="106"/>
      <c r="BO12" s="106"/>
      <c r="BP12" s="106"/>
      <c r="BQ12" s="107"/>
      <c r="BR12" s="104"/>
      <c r="BS12" s="105"/>
      <c r="BT12" s="105"/>
      <c r="BU12" s="105"/>
      <c r="BV12" s="105"/>
      <c r="BW12" s="105"/>
      <c r="BX12" s="105"/>
      <c r="BY12" s="105"/>
      <c r="BZ12" s="105"/>
      <c r="CA12" s="105"/>
      <c r="CB12" s="105"/>
      <c r="CC12" s="105"/>
      <c r="CD12" s="105"/>
      <c r="CE12" s="105"/>
      <c r="CF12" s="105"/>
      <c r="CG12" s="105"/>
      <c r="CH12" s="105"/>
      <c r="CI12" s="105"/>
      <c r="CJ12" s="106"/>
      <c r="CK12" s="106"/>
      <c r="CL12" s="106"/>
      <c r="CM12" s="106"/>
      <c r="CN12" s="107"/>
      <c r="CO12" s="104"/>
      <c r="CP12" s="105"/>
      <c r="CQ12" s="105"/>
      <c r="CR12" s="105"/>
      <c r="CS12" s="105"/>
      <c r="CT12" s="105"/>
      <c r="CU12" s="105"/>
      <c r="CV12" s="105"/>
      <c r="CW12" s="105"/>
      <c r="CX12" s="105"/>
      <c r="CY12" s="105"/>
      <c r="CZ12" s="105"/>
      <c r="DA12" s="105"/>
      <c r="DB12" s="105"/>
      <c r="DC12" s="105"/>
      <c r="DD12" s="105"/>
      <c r="DE12" s="105"/>
      <c r="DF12" s="105"/>
      <c r="DG12" s="106"/>
      <c r="DH12" s="106"/>
      <c r="DI12" s="106"/>
      <c r="DJ12" s="106"/>
      <c r="DK12" s="107"/>
      <c r="DL12" s="104"/>
      <c r="DM12" s="105"/>
      <c r="DN12" s="105"/>
      <c r="DO12" s="105"/>
      <c r="DP12" s="105"/>
      <c r="DQ12" s="105"/>
      <c r="DR12" s="105"/>
      <c r="DS12" s="105"/>
      <c r="DT12" s="105"/>
      <c r="DU12" s="105"/>
      <c r="DV12" s="105"/>
      <c r="DW12" s="105"/>
      <c r="DX12" s="105"/>
      <c r="DY12" s="105"/>
      <c r="DZ12" s="105"/>
      <c r="EA12" s="105"/>
      <c r="EB12" s="105"/>
      <c r="EC12" s="105"/>
      <c r="ED12" s="106"/>
      <c r="EE12" s="106"/>
      <c r="EF12" s="106"/>
      <c r="EG12" s="106"/>
      <c r="EH12" s="107"/>
      <c r="EI12" s="104"/>
      <c r="EJ12" s="105"/>
      <c r="EK12" s="105"/>
      <c r="EL12" s="105"/>
      <c r="EM12" s="105"/>
      <c r="EN12" s="105"/>
      <c r="EO12" s="105"/>
      <c r="EP12" s="105"/>
      <c r="EQ12" s="105"/>
      <c r="ER12" s="105"/>
      <c r="ES12" s="105"/>
      <c r="ET12" s="105"/>
      <c r="EU12" s="105"/>
      <c r="EV12" s="105"/>
      <c r="EW12" s="105"/>
      <c r="EX12" s="105"/>
      <c r="EY12" s="105"/>
      <c r="EZ12" s="105"/>
      <c r="FA12" s="106"/>
      <c r="FB12" s="106"/>
      <c r="FC12" s="106"/>
      <c r="FD12" s="106"/>
      <c r="FE12" s="107"/>
      <c r="FF12" s="104"/>
      <c r="FG12" s="105"/>
      <c r="FH12" s="105"/>
      <c r="FI12" s="105"/>
      <c r="FJ12" s="105"/>
      <c r="FK12" s="105"/>
      <c r="FL12" s="105"/>
      <c r="FM12" s="105"/>
      <c r="FN12" s="105"/>
      <c r="FO12" s="105"/>
      <c r="FP12" s="105"/>
      <c r="FQ12" s="105"/>
      <c r="FR12" s="105"/>
      <c r="FS12" s="105"/>
      <c r="FT12" s="105"/>
      <c r="FU12" s="105"/>
      <c r="FV12" s="105"/>
      <c r="FW12" s="105"/>
      <c r="FX12" s="106"/>
      <c r="FY12" s="106"/>
      <c r="FZ12" s="106"/>
      <c r="GA12" s="106"/>
      <c r="GB12" s="107"/>
      <c r="GC12" s="104"/>
      <c r="GD12" s="105"/>
      <c r="GE12" s="105"/>
      <c r="GF12" s="105"/>
      <c r="GG12" s="105"/>
      <c r="GH12" s="105"/>
      <c r="GI12" s="105"/>
      <c r="GJ12" s="105"/>
      <c r="GK12" s="105"/>
      <c r="GL12" s="105"/>
      <c r="GM12" s="105"/>
      <c r="GN12" s="105"/>
      <c r="GO12" s="105"/>
      <c r="GP12" s="105"/>
      <c r="GQ12" s="105"/>
      <c r="GR12" s="105"/>
      <c r="GS12" s="105"/>
      <c r="GT12" s="105"/>
      <c r="GU12" s="106"/>
      <c r="GV12" s="106"/>
      <c r="GW12" s="106"/>
      <c r="GX12" s="106"/>
      <c r="GY12" s="107"/>
      <c r="GZ12" s="104"/>
      <c r="HA12" s="105"/>
      <c r="HB12" s="105"/>
      <c r="HC12" s="105"/>
      <c r="HD12" s="105"/>
      <c r="HE12" s="105"/>
      <c r="HF12" s="105"/>
      <c r="HG12" s="105"/>
      <c r="HH12" s="105"/>
      <c r="HI12" s="105"/>
      <c r="HJ12" s="105"/>
      <c r="HK12" s="105"/>
      <c r="HL12" s="105"/>
      <c r="HM12" s="105"/>
      <c r="HN12" s="105"/>
      <c r="HO12" s="105"/>
      <c r="HP12" s="105"/>
      <c r="HQ12" s="105"/>
      <c r="HR12" s="106"/>
      <c r="HS12" s="106"/>
      <c r="HT12" s="106"/>
      <c r="HU12" s="106"/>
      <c r="HV12" s="107"/>
      <c r="HW12" s="104"/>
      <c r="HX12" s="105"/>
      <c r="HY12" s="105"/>
      <c r="HZ12" s="105"/>
      <c r="IA12" s="105"/>
      <c r="IB12" s="105"/>
      <c r="IC12" s="105"/>
      <c r="ID12" s="105"/>
      <c r="IE12" s="105"/>
      <c r="IF12" s="105"/>
      <c r="IG12" s="105"/>
      <c r="IH12" s="105"/>
      <c r="II12" s="105"/>
      <c r="IJ12" s="105"/>
      <c r="IK12" s="105"/>
      <c r="IL12" s="105"/>
      <c r="IM12" s="105"/>
      <c r="IN12" s="105"/>
      <c r="IO12" s="106"/>
      <c r="IP12" s="106"/>
      <c r="IQ12" s="106"/>
      <c r="IR12" s="106"/>
      <c r="IS12" s="107"/>
      <c r="IT12" s="104"/>
      <c r="IU12" s="105"/>
      <c r="IV12" s="105"/>
      <c r="IW12" s="105"/>
      <c r="IX12" s="105"/>
      <c r="IY12" s="105"/>
      <c r="IZ12" s="105"/>
      <c r="JA12" s="105"/>
      <c r="JB12" s="105"/>
      <c r="JC12" s="105"/>
      <c r="JD12" s="105"/>
      <c r="JE12" s="105"/>
      <c r="JF12" s="105"/>
      <c r="JG12" s="105"/>
      <c r="JH12" s="105"/>
      <c r="JI12" s="105"/>
      <c r="JJ12" s="105"/>
      <c r="JK12" s="105"/>
      <c r="JL12" s="106"/>
      <c r="JM12" s="106"/>
      <c r="JN12" s="106"/>
      <c r="JO12" s="106"/>
      <c r="JP12" s="107"/>
      <c r="JQ12" s="104"/>
      <c r="JR12" s="105"/>
      <c r="JS12" s="105"/>
      <c r="JT12" s="105"/>
      <c r="JU12" s="105"/>
      <c r="JV12" s="105"/>
      <c r="JW12" s="105"/>
      <c r="JX12" s="105"/>
      <c r="JY12" s="105"/>
      <c r="JZ12" s="105"/>
      <c r="KA12" s="105"/>
      <c r="KB12" s="105"/>
      <c r="KC12" s="105"/>
      <c r="KD12" s="105"/>
      <c r="KE12" s="105"/>
      <c r="KF12" s="105"/>
      <c r="KG12" s="105"/>
      <c r="KH12" s="105"/>
      <c r="KI12" s="106"/>
      <c r="KJ12" s="106"/>
      <c r="KK12" s="106"/>
      <c r="KL12" s="106"/>
      <c r="KM12" s="107"/>
      <c r="KN12" s="104"/>
      <c r="KO12" s="105"/>
      <c r="KP12" s="105"/>
      <c r="KQ12" s="105"/>
      <c r="KR12" s="105"/>
      <c r="KS12" s="105"/>
      <c r="KT12" s="105"/>
      <c r="KU12" s="105"/>
      <c r="KV12" s="105"/>
      <c r="KW12" s="105"/>
      <c r="KX12" s="105"/>
      <c r="KY12" s="105"/>
      <c r="KZ12" s="105"/>
      <c r="LA12" s="105"/>
      <c r="LB12" s="105"/>
      <c r="LC12" s="105"/>
      <c r="LD12" s="105"/>
      <c r="LE12" s="105"/>
      <c r="LF12" s="106"/>
      <c r="LG12" s="106"/>
      <c r="LH12" s="106"/>
      <c r="LI12" s="106"/>
      <c r="LJ12" s="107"/>
      <c r="LK12" s="104"/>
      <c r="LL12" s="105"/>
      <c r="LM12" s="105"/>
      <c r="LN12" s="105"/>
      <c r="LO12" s="105"/>
      <c r="LP12" s="105"/>
      <c r="LQ12" s="105"/>
      <c r="LR12" s="105"/>
      <c r="LS12" s="105"/>
      <c r="LT12" s="105"/>
      <c r="LU12" s="105"/>
      <c r="LV12" s="105"/>
      <c r="LW12" s="105"/>
      <c r="LX12" s="105"/>
      <c r="LY12" s="105"/>
      <c r="LZ12" s="105"/>
      <c r="MA12" s="105"/>
      <c r="MB12" s="105"/>
      <c r="MC12" s="106"/>
      <c r="MD12" s="106"/>
      <c r="ME12" s="106"/>
      <c r="MF12" s="106"/>
      <c r="MG12" s="107"/>
      <c r="MH12" s="104"/>
      <c r="MI12" s="105"/>
      <c r="MJ12" s="105"/>
      <c r="MK12" s="105"/>
      <c r="ML12" s="105"/>
      <c r="MM12" s="105"/>
      <c r="MN12" s="105"/>
      <c r="MO12" s="105"/>
      <c r="MP12" s="105"/>
      <c r="MQ12" s="105"/>
      <c r="MR12" s="105"/>
      <c r="MS12" s="105"/>
      <c r="MT12" s="105"/>
      <c r="MU12" s="105"/>
      <c r="MV12" s="105"/>
      <c r="MW12" s="105"/>
      <c r="MX12" s="105"/>
      <c r="MY12" s="105"/>
      <c r="MZ12" s="106"/>
      <c r="NA12" s="106"/>
      <c r="NB12" s="106"/>
      <c r="NC12" s="106"/>
      <c r="ND12" s="107"/>
      <c r="NE12" s="104"/>
      <c r="NF12" s="105"/>
      <c r="NG12" s="105"/>
      <c r="NH12" s="105"/>
      <c r="NI12" s="105"/>
      <c r="NJ12" s="105"/>
      <c r="NK12" s="105"/>
      <c r="NL12" s="105"/>
      <c r="NM12" s="105"/>
      <c r="NN12" s="105"/>
      <c r="NO12" s="105"/>
      <c r="NP12" s="105"/>
      <c r="NQ12" s="105"/>
      <c r="NR12" s="105"/>
      <c r="NS12" s="105"/>
      <c r="NT12" s="105"/>
      <c r="NU12" s="105"/>
      <c r="NV12" s="105"/>
      <c r="NW12" s="106"/>
      <c r="NX12" s="106"/>
      <c r="NY12" s="106"/>
      <c r="NZ12" s="106"/>
      <c r="OA12" s="107"/>
      <c r="OB12" s="104"/>
      <c r="OC12" s="105"/>
      <c r="OD12" s="105"/>
      <c r="OE12" s="105"/>
      <c r="OF12" s="105"/>
      <c r="OG12" s="105"/>
      <c r="OH12" s="105"/>
      <c r="OI12" s="105"/>
      <c r="OJ12" s="105"/>
      <c r="OK12" s="105"/>
      <c r="OL12" s="105"/>
      <c r="OM12" s="105"/>
      <c r="ON12" s="105"/>
      <c r="OO12" s="105"/>
      <c r="OP12" s="105"/>
      <c r="OQ12" s="105"/>
      <c r="OR12" s="105"/>
      <c r="OS12" s="105"/>
      <c r="OT12" s="106"/>
      <c r="OU12" s="106"/>
      <c r="OV12" s="106"/>
      <c r="OW12" s="106"/>
      <c r="OX12" s="107"/>
      <c r="OY12" s="104"/>
      <c r="OZ12" s="105"/>
      <c r="PA12" s="105"/>
      <c r="PB12" s="105"/>
      <c r="PC12" s="105"/>
      <c r="PD12" s="105"/>
      <c r="PE12" s="105"/>
      <c r="PF12" s="105"/>
      <c r="PG12" s="105"/>
      <c r="PH12" s="105"/>
      <c r="PI12" s="105"/>
      <c r="PJ12" s="105"/>
      <c r="PK12" s="105"/>
      <c r="PL12" s="105"/>
      <c r="PM12" s="105"/>
      <c r="PN12" s="105"/>
      <c r="PO12" s="105"/>
      <c r="PP12" s="105"/>
      <c r="PQ12" s="106"/>
      <c r="PR12" s="106"/>
      <c r="PS12" s="106"/>
      <c r="PT12" s="106"/>
      <c r="PU12" s="107"/>
      <c r="PV12" s="104"/>
      <c r="PW12" s="105"/>
      <c r="PX12" s="105"/>
      <c r="PY12" s="105"/>
      <c r="PZ12" s="105"/>
      <c r="QA12" s="105"/>
      <c r="QB12" s="105"/>
      <c r="QC12" s="105"/>
      <c r="QD12" s="105"/>
      <c r="QE12" s="105"/>
      <c r="QF12" s="105"/>
      <c r="QG12" s="105"/>
      <c r="QH12" s="105"/>
      <c r="QI12" s="105"/>
      <c r="QJ12" s="105"/>
      <c r="QK12" s="105"/>
      <c r="QL12" s="105"/>
      <c r="QM12" s="105"/>
      <c r="QN12" s="106"/>
      <c r="QO12" s="106"/>
      <c r="QP12" s="106"/>
      <c r="QQ12" s="106"/>
      <c r="QR12" s="107"/>
    </row>
    <row r="13" spans="1:532" ht="45" customHeight="1" x14ac:dyDescent="0.45">
      <c r="A13" s="124" t="s">
        <v>36</v>
      </c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 s="125" t="s">
        <v>45</v>
      </c>
      <c r="AB13" s="105"/>
      <c r="AC13" s="105"/>
      <c r="AD13" s="105"/>
      <c r="AE13" s="105"/>
      <c r="AF13" s="105"/>
      <c r="AG13" s="105"/>
      <c r="AH13" s="105"/>
      <c r="AI13" s="105"/>
      <c r="AJ13" s="105"/>
      <c r="AK13" s="105"/>
      <c r="AL13" s="105"/>
      <c r="AM13" s="105"/>
      <c r="AN13" s="105"/>
      <c r="AO13" s="105"/>
      <c r="AP13" s="106"/>
      <c r="AQ13" s="106"/>
      <c r="AR13" s="106"/>
      <c r="AS13" s="106"/>
      <c r="AT13" s="107"/>
      <c r="AU13" s="104"/>
      <c r="AV13" s="105"/>
      <c r="AW13" s="105"/>
      <c r="AX13" s="105"/>
      <c r="AY13" s="105"/>
      <c r="AZ13" s="105"/>
      <c r="BA13" s="105"/>
      <c r="BB13" s="105"/>
      <c r="BC13" s="105"/>
      <c r="BD13" s="105"/>
      <c r="BE13" s="105"/>
      <c r="BF13" s="105"/>
      <c r="BG13" s="105"/>
      <c r="BH13" s="105"/>
      <c r="BI13" s="105"/>
      <c r="BJ13" s="105"/>
      <c r="BK13" s="105"/>
      <c r="BL13" s="105"/>
      <c r="BM13" s="106"/>
      <c r="BN13" s="106"/>
      <c r="BO13" s="106"/>
      <c r="BP13" s="106"/>
      <c r="BQ13" s="107"/>
      <c r="BR13" s="104"/>
      <c r="BS13" s="105"/>
      <c r="BT13" s="105"/>
      <c r="BU13" s="105"/>
      <c r="BV13" s="105"/>
      <c r="BW13" s="105"/>
      <c r="BX13" s="105"/>
      <c r="BY13" s="105"/>
      <c r="BZ13" s="105"/>
      <c r="CA13" s="105"/>
      <c r="CB13" s="105"/>
      <c r="CC13" s="105"/>
      <c r="CD13" s="105"/>
      <c r="CE13" s="105"/>
      <c r="CF13" s="105"/>
      <c r="CG13" s="105"/>
      <c r="CH13" s="105"/>
      <c r="CI13" s="105"/>
      <c r="CJ13" s="106"/>
      <c r="CK13" s="106"/>
      <c r="CL13" s="106"/>
      <c r="CM13" s="106"/>
      <c r="CN13" s="107"/>
      <c r="CO13" s="104"/>
      <c r="CP13" s="105"/>
      <c r="CQ13" s="105"/>
      <c r="CR13" s="105"/>
      <c r="CS13" s="105"/>
      <c r="CT13" s="105"/>
      <c r="CU13" s="105"/>
      <c r="CV13" s="105"/>
      <c r="CW13" s="105"/>
      <c r="CX13" s="105"/>
      <c r="CY13" s="105"/>
      <c r="CZ13" s="105"/>
      <c r="DA13" s="105"/>
      <c r="DB13" s="105"/>
      <c r="DC13" s="105"/>
      <c r="DD13" s="105"/>
      <c r="DE13" s="105"/>
      <c r="DF13" s="105"/>
      <c r="DG13" s="106"/>
      <c r="DH13" s="106"/>
      <c r="DI13" s="106"/>
      <c r="DJ13" s="106"/>
      <c r="DK13" s="107"/>
      <c r="DL13" s="104"/>
      <c r="DM13" s="105"/>
      <c r="DN13" s="105"/>
      <c r="DO13" s="105"/>
      <c r="DP13" s="105"/>
      <c r="DQ13" s="105"/>
      <c r="DR13" s="105"/>
      <c r="DS13" s="105"/>
      <c r="DT13" s="105"/>
      <c r="DU13" s="105"/>
      <c r="DV13" s="105"/>
      <c r="DW13" s="105"/>
      <c r="DX13" s="105"/>
      <c r="DY13" s="105"/>
      <c r="DZ13" s="105"/>
      <c r="EA13" s="105"/>
      <c r="EB13" s="105"/>
      <c r="EC13" s="105"/>
      <c r="ED13" s="106"/>
      <c r="EE13" s="106"/>
      <c r="EF13" s="106"/>
      <c r="EG13" s="106"/>
      <c r="EH13" s="107"/>
      <c r="EI13" s="104"/>
      <c r="EJ13" s="105"/>
      <c r="EK13" s="105"/>
      <c r="EL13" s="105"/>
      <c r="EM13" s="105"/>
      <c r="EN13" s="105"/>
      <c r="EO13" s="105"/>
      <c r="EP13" s="105"/>
      <c r="EQ13" s="105"/>
      <c r="ER13" s="105"/>
      <c r="ES13" s="105"/>
      <c r="ET13" s="105"/>
      <c r="EU13" s="105"/>
      <c r="EV13" s="105"/>
      <c r="EW13" s="105"/>
      <c r="EX13" s="105"/>
      <c r="EY13" s="105"/>
      <c r="EZ13" s="105"/>
      <c r="FA13" s="106"/>
      <c r="FB13" s="106"/>
      <c r="FC13" s="106"/>
      <c r="FD13" s="106"/>
      <c r="FE13" s="107"/>
      <c r="FF13" s="104"/>
      <c r="FG13" s="105"/>
      <c r="FH13" s="105"/>
      <c r="FI13" s="105"/>
      <c r="FJ13" s="105"/>
      <c r="FK13" s="105"/>
      <c r="FL13" s="105"/>
      <c r="FM13" s="105"/>
      <c r="FN13" s="105"/>
      <c r="FO13" s="105"/>
      <c r="FP13" s="105"/>
      <c r="FQ13" s="105"/>
      <c r="FR13" s="105"/>
      <c r="FS13" s="105"/>
      <c r="FT13" s="105"/>
      <c r="FU13" s="105"/>
      <c r="FV13" s="105"/>
      <c r="FW13" s="105"/>
      <c r="FX13" s="106"/>
      <c r="FY13" s="106"/>
      <c r="FZ13" s="106"/>
      <c r="GA13" s="106"/>
      <c r="GB13" s="107"/>
      <c r="GC13" s="104"/>
      <c r="GD13" s="105"/>
      <c r="GE13" s="105"/>
      <c r="GF13" s="105"/>
      <c r="GG13" s="105"/>
      <c r="GH13" s="105"/>
      <c r="GI13" s="105"/>
      <c r="GJ13" s="105"/>
      <c r="GK13" s="105"/>
      <c r="GL13" s="105"/>
      <c r="GM13" s="105"/>
      <c r="GN13" s="105"/>
      <c r="GO13" s="105"/>
      <c r="GP13" s="105"/>
      <c r="GQ13" s="105"/>
      <c r="GR13" s="105"/>
      <c r="GS13" s="105"/>
      <c r="GT13" s="105"/>
      <c r="GU13" s="106"/>
      <c r="GV13" s="106"/>
      <c r="GW13" s="106"/>
      <c r="GX13" s="106"/>
      <c r="GY13" s="107"/>
      <c r="GZ13" s="104"/>
      <c r="HA13" s="105"/>
      <c r="HB13" s="105"/>
      <c r="HC13" s="105"/>
      <c r="HD13" s="105"/>
      <c r="HE13" s="105"/>
      <c r="HF13" s="105"/>
      <c r="HG13" s="105"/>
      <c r="HH13" s="105"/>
      <c r="HI13" s="105"/>
      <c r="HJ13" s="105"/>
      <c r="HK13" s="105"/>
      <c r="HL13" s="105"/>
      <c r="HM13" s="105"/>
      <c r="HN13" s="105"/>
      <c r="HO13" s="105"/>
      <c r="HP13" s="105"/>
      <c r="HQ13" s="105"/>
      <c r="HR13" s="106"/>
      <c r="HS13" s="106"/>
      <c r="HT13" s="106"/>
      <c r="HU13" s="106"/>
      <c r="HV13" s="107"/>
      <c r="HW13" s="104"/>
      <c r="HX13" s="105"/>
      <c r="HY13" s="105"/>
      <c r="HZ13" s="105"/>
      <c r="IA13" s="105"/>
      <c r="IB13" s="105"/>
      <c r="IC13" s="105"/>
      <c r="ID13" s="105"/>
      <c r="IE13" s="105"/>
      <c r="IF13" s="105"/>
      <c r="IG13" s="105"/>
      <c r="IH13" s="105"/>
      <c r="II13" s="105"/>
      <c r="IJ13" s="105"/>
      <c r="IK13" s="105"/>
      <c r="IL13" s="105"/>
      <c r="IM13" s="105"/>
      <c r="IN13" s="105"/>
      <c r="IO13" s="106"/>
      <c r="IP13" s="106"/>
      <c r="IQ13" s="106"/>
      <c r="IR13" s="106"/>
      <c r="IS13" s="107"/>
      <c r="IT13" s="104"/>
      <c r="IU13" s="105"/>
      <c r="IV13" s="105"/>
      <c r="IW13" s="105"/>
      <c r="IX13" s="105"/>
      <c r="IY13" s="105"/>
      <c r="IZ13" s="105"/>
      <c r="JA13" s="105"/>
      <c r="JB13" s="105"/>
      <c r="JC13" s="105"/>
      <c r="JD13" s="105"/>
      <c r="JE13" s="105"/>
      <c r="JF13" s="105"/>
      <c r="JG13" s="105"/>
      <c r="JH13" s="105"/>
      <c r="JI13" s="105"/>
      <c r="JJ13" s="105"/>
      <c r="JK13" s="105"/>
      <c r="JL13" s="106"/>
      <c r="JM13" s="106"/>
      <c r="JN13" s="106"/>
      <c r="JO13" s="106"/>
      <c r="JP13" s="107"/>
      <c r="JQ13" s="104"/>
      <c r="JR13" s="105"/>
      <c r="JS13" s="105"/>
      <c r="JT13" s="105"/>
      <c r="JU13" s="105"/>
      <c r="JV13" s="105"/>
      <c r="JW13" s="105"/>
      <c r="JX13" s="105"/>
      <c r="JY13" s="105"/>
      <c r="JZ13" s="105"/>
      <c r="KA13" s="105"/>
      <c r="KB13" s="105"/>
      <c r="KC13" s="105"/>
      <c r="KD13" s="105"/>
      <c r="KE13" s="105"/>
      <c r="KF13" s="105"/>
      <c r="KG13" s="105"/>
      <c r="KH13" s="105"/>
      <c r="KI13" s="106"/>
      <c r="KJ13" s="106"/>
      <c r="KK13" s="106"/>
      <c r="KL13" s="106"/>
      <c r="KM13" s="107"/>
      <c r="KN13" s="104"/>
      <c r="KO13" s="105"/>
      <c r="KP13" s="105"/>
      <c r="KQ13" s="105"/>
      <c r="KR13" s="105"/>
      <c r="KS13" s="105"/>
      <c r="KT13" s="105"/>
      <c r="KU13" s="105"/>
      <c r="KV13" s="105"/>
      <c r="KW13" s="105"/>
      <c r="KX13" s="105"/>
      <c r="KY13" s="105"/>
      <c r="KZ13" s="105"/>
      <c r="LA13" s="105"/>
      <c r="LB13" s="105"/>
      <c r="LC13" s="105"/>
      <c r="LD13" s="105"/>
      <c r="LE13" s="105"/>
      <c r="LF13" s="106"/>
      <c r="LG13" s="106"/>
      <c r="LH13" s="106"/>
      <c r="LI13" s="106"/>
      <c r="LJ13" s="107"/>
      <c r="LK13" s="104"/>
      <c r="LL13" s="105"/>
      <c r="LM13" s="105"/>
      <c r="LN13" s="105"/>
      <c r="LO13" s="105"/>
      <c r="LP13" s="105"/>
      <c r="LQ13" s="105"/>
      <c r="LR13" s="105"/>
      <c r="LS13" s="105"/>
      <c r="LT13" s="105"/>
      <c r="LU13" s="105"/>
      <c r="LV13" s="105"/>
      <c r="LW13" s="105"/>
      <c r="LX13" s="105"/>
      <c r="LY13" s="105"/>
      <c r="LZ13" s="105"/>
      <c r="MA13" s="105"/>
      <c r="MB13" s="105"/>
      <c r="MC13" s="106"/>
      <c r="MD13" s="106"/>
      <c r="ME13" s="106"/>
      <c r="MF13" s="106"/>
      <c r="MG13" s="107"/>
      <c r="MH13" s="104"/>
      <c r="MI13" s="105"/>
      <c r="MJ13" s="105"/>
      <c r="MK13" s="105"/>
      <c r="ML13" s="105"/>
      <c r="MM13" s="105"/>
      <c r="MN13" s="105"/>
      <c r="MO13" s="105"/>
      <c r="MP13" s="105"/>
      <c r="MQ13" s="105"/>
      <c r="MR13" s="105"/>
      <c r="MS13" s="105"/>
      <c r="MT13" s="105"/>
      <c r="MU13" s="105"/>
      <c r="MV13" s="105"/>
      <c r="MW13" s="105"/>
      <c r="MX13" s="105"/>
      <c r="MY13" s="105"/>
      <c r="MZ13" s="106"/>
      <c r="NA13" s="106"/>
      <c r="NB13" s="106"/>
      <c r="NC13" s="106"/>
      <c r="ND13" s="107"/>
      <c r="NE13" s="104"/>
      <c r="NF13" s="105"/>
      <c r="NG13" s="105"/>
      <c r="NH13" s="105"/>
      <c r="NI13" s="105"/>
      <c r="NJ13" s="105"/>
      <c r="NK13" s="105"/>
      <c r="NL13" s="105"/>
      <c r="NM13" s="105"/>
      <c r="NN13" s="105"/>
      <c r="NO13" s="105"/>
      <c r="NP13" s="105"/>
      <c r="NQ13" s="105"/>
      <c r="NR13" s="105"/>
      <c r="NS13" s="105"/>
      <c r="NT13" s="105"/>
      <c r="NU13" s="105"/>
      <c r="NV13" s="105"/>
      <c r="NW13" s="106"/>
      <c r="NX13" s="106"/>
      <c r="NY13" s="106"/>
      <c r="NZ13" s="106"/>
      <c r="OA13" s="107"/>
      <c r="OB13" s="104"/>
      <c r="OC13" s="105"/>
      <c r="OD13" s="105"/>
      <c r="OE13" s="105"/>
      <c r="OF13" s="105"/>
      <c r="OG13" s="105"/>
      <c r="OH13" s="105"/>
      <c r="OI13" s="105"/>
      <c r="OJ13" s="105"/>
      <c r="OK13" s="105"/>
      <c r="OL13" s="105"/>
      <c r="OM13" s="105"/>
      <c r="ON13" s="105"/>
      <c r="OO13" s="105"/>
      <c r="OP13" s="105"/>
      <c r="OQ13" s="105"/>
      <c r="OR13" s="105"/>
      <c r="OS13" s="105"/>
      <c r="OT13" s="106"/>
      <c r="OU13" s="106"/>
      <c r="OV13" s="106"/>
      <c r="OW13" s="106"/>
      <c r="OX13" s="107"/>
      <c r="OY13" s="104"/>
      <c r="OZ13" s="105"/>
      <c r="PA13" s="105"/>
      <c r="PB13" s="105"/>
      <c r="PC13" s="105"/>
      <c r="PD13" s="105"/>
      <c r="PE13" s="105"/>
      <c r="PF13" s="105"/>
      <c r="PG13" s="105"/>
      <c r="PH13" s="105"/>
      <c r="PI13" s="105"/>
      <c r="PJ13" s="105"/>
      <c r="PK13" s="105"/>
      <c r="PL13" s="105"/>
      <c r="PM13" s="105"/>
      <c r="PN13" s="105"/>
      <c r="PO13" s="105"/>
      <c r="PP13" s="105"/>
      <c r="PQ13" s="106"/>
      <c r="PR13" s="106"/>
      <c r="PS13" s="106"/>
      <c r="PT13" s="106"/>
      <c r="PU13" s="107"/>
      <c r="PV13" s="104"/>
      <c r="PW13" s="105"/>
      <c r="PX13" s="105"/>
      <c r="PY13" s="105"/>
      <c r="PZ13" s="105"/>
      <c r="QA13" s="105"/>
      <c r="QB13" s="105"/>
      <c r="QC13" s="105"/>
      <c r="QD13" s="105"/>
      <c r="QE13" s="105"/>
      <c r="QF13" s="105"/>
      <c r="QG13" s="105"/>
      <c r="QH13" s="105"/>
      <c r="QI13" s="105"/>
      <c r="QJ13" s="105"/>
      <c r="QK13" s="105"/>
      <c r="QL13" s="105"/>
      <c r="QM13" s="105"/>
      <c r="QN13" s="106"/>
      <c r="QO13" s="106"/>
      <c r="QP13" s="106"/>
      <c r="QQ13" s="106"/>
      <c r="QR13" s="107"/>
    </row>
    <row r="14" spans="1:532" ht="45" customHeight="1" x14ac:dyDescent="0.4">
      <c r="A14" s="124" t="s">
        <v>27</v>
      </c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 s="104"/>
      <c r="AC14" s="104"/>
      <c r="AD14" s="104"/>
      <c r="AE14" s="104"/>
      <c r="AF14" s="104"/>
      <c r="AG14" s="104"/>
      <c r="AH14" s="104"/>
      <c r="AI14" s="104"/>
      <c r="AJ14" s="104"/>
      <c r="AK14" s="104"/>
      <c r="AL14" s="104"/>
      <c r="AM14" s="104"/>
      <c r="AN14" s="104"/>
      <c r="AO14" s="104"/>
      <c r="AP14" s="112"/>
      <c r="AQ14" s="112"/>
      <c r="AR14" s="112"/>
      <c r="AS14" s="112"/>
      <c r="AT14" s="113"/>
      <c r="AU14" s="104"/>
      <c r="AV14" s="104"/>
      <c r="AW14" s="104"/>
      <c r="AX14" s="104"/>
      <c r="AY14" s="104"/>
      <c r="AZ14" s="104"/>
      <c r="BA14" s="104"/>
      <c r="BB14" s="104"/>
      <c r="BC14" s="104"/>
      <c r="BD14" s="104"/>
      <c r="BE14" s="104"/>
      <c r="BF14" s="104"/>
      <c r="BG14" s="104"/>
      <c r="BH14" s="104"/>
      <c r="BI14" s="104"/>
      <c r="BJ14" s="104"/>
      <c r="BK14" s="104"/>
      <c r="BL14" s="104"/>
      <c r="BM14" s="112"/>
      <c r="BN14" s="112"/>
      <c r="BO14" s="112"/>
      <c r="BP14" s="112"/>
      <c r="BQ14" s="113"/>
      <c r="BR14" s="104"/>
      <c r="BS14" s="104"/>
      <c r="BT14" s="104"/>
      <c r="BU14" s="104"/>
      <c r="BV14" s="104"/>
      <c r="BW14" s="104"/>
      <c r="BX14" s="104"/>
      <c r="BY14" s="104"/>
      <c r="BZ14" s="104"/>
      <c r="CA14" s="104"/>
      <c r="CB14" s="104"/>
      <c r="CC14" s="104"/>
      <c r="CD14" s="104"/>
      <c r="CE14" s="104"/>
      <c r="CF14" s="104"/>
      <c r="CG14" s="104"/>
      <c r="CH14" s="104"/>
      <c r="CI14" s="104"/>
      <c r="CJ14" s="112"/>
      <c r="CK14" s="112"/>
      <c r="CL14" s="112"/>
      <c r="CM14" s="112"/>
      <c r="CN14" s="113"/>
      <c r="CO14" s="104"/>
      <c r="CP14" s="104"/>
      <c r="CQ14" s="104"/>
      <c r="CR14" s="104"/>
      <c r="CS14" s="104"/>
      <c r="CT14" s="104"/>
      <c r="CU14" s="104"/>
      <c r="CV14" s="104"/>
      <c r="CW14" s="104"/>
      <c r="CX14" s="104"/>
      <c r="CY14" s="104"/>
      <c r="CZ14" s="104"/>
      <c r="DA14" s="104"/>
      <c r="DB14" s="104"/>
      <c r="DC14" s="104"/>
      <c r="DD14" s="104"/>
      <c r="DE14" s="104"/>
      <c r="DF14" s="104"/>
      <c r="DG14" s="112"/>
      <c r="DH14" s="112"/>
      <c r="DI14" s="112"/>
      <c r="DJ14" s="112"/>
      <c r="DK14" s="113"/>
      <c r="DL14" s="104"/>
      <c r="DM14" s="104"/>
      <c r="DN14" s="104"/>
      <c r="DO14" s="104"/>
      <c r="DP14" s="104"/>
      <c r="DQ14" s="104"/>
      <c r="DR14" s="104"/>
      <c r="DS14" s="104"/>
      <c r="DT14" s="104"/>
      <c r="DU14" s="104"/>
      <c r="DV14" s="104"/>
      <c r="DW14" s="104"/>
      <c r="DX14" s="104"/>
      <c r="DY14" s="104"/>
      <c r="DZ14" s="104"/>
      <c r="EA14" s="104"/>
      <c r="EB14" s="104"/>
      <c r="EC14" s="104"/>
      <c r="ED14" s="112"/>
      <c r="EE14" s="112"/>
      <c r="EF14" s="112"/>
      <c r="EG14" s="112"/>
      <c r="EH14" s="113"/>
      <c r="EI14" s="104"/>
      <c r="EJ14" s="104"/>
      <c r="EK14" s="104"/>
      <c r="EL14" s="104"/>
      <c r="EM14" s="104"/>
      <c r="EN14" s="104"/>
      <c r="EO14" s="104"/>
      <c r="EP14" s="104"/>
      <c r="EQ14" s="104"/>
      <c r="ER14" s="104"/>
      <c r="ES14" s="104"/>
      <c r="ET14" s="104"/>
      <c r="EU14" s="104"/>
      <c r="EV14" s="104"/>
      <c r="EW14" s="104"/>
      <c r="EX14" s="104"/>
      <c r="EY14" s="104"/>
      <c r="EZ14" s="104"/>
      <c r="FA14" s="112"/>
      <c r="FB14" s="112"/>
      <c r="FC14" s="112"/>
      <c r="FD14" s="112"/>
      <c r="FE14" s="113"/>
      <c r="FF14" s="104"/>
      <c r="FG14" s="104"/>
      <c r="FH14" s="104"/>
      <c r="FI14" s="104"/>
      <c r="FJ14" s="104"/>
      <c r="FK14" s="104"/>
      <c r="FL14" s="104"/>
      <c r="FM14" s="104"/>
      <c r="FN14" s="104"/>
      <c r="FO14" s="104"/>
      <c r="FP14" s="104"/>
      <c r="FQ14" s="104"/>
      <c r="FR14" s="104"/>
      <c r="FS14" s="104"/>
      <c r="FT14" s="104"/>
      <c r="FU14" s="104"/>
      <c r="FV14" s="104"/>
      <c r="FW14" s="104"/>
      <c r="FX14" s="112"/>
      <c r="FY14" s="112"/>
      <c r="FZ14" s="112"/>
      <c r="GA14" s="112"/>
      <c r="GB14" s="113"/>
      <c r="GC14" s="104"/>
      <c r="GD14" s="104"/>
      <c r="GE14" s="104"/>
      <c r="GF14" s="104"/>
      <c r="GG14" s="104"/>
      <c r="GH14" s="104"/>
      <c r="GI14" s="104"/>
      <c r="GJ14" s="104"/>
      <c r="GK14" s="104"/>
      <c r="GL14" s="104"/>
      <c r="GM14" s="104"/>
      <c r="GN14" s="104"/>
      <c r="GO14" s="104"/>
      <c r="GP14" s="104"/>
      <c r="GQ14" s="104"/>
      <c r="GR14" s="104"/>
      <c r="GS14" s="104"/>
      <c r="GT14" s="104"/>
      <c r="GU14" s="112"/>
      <c r="GV14" s="112"/>
      <c r="GW14" s="112"/>
      <c r="GX14" s="112"/>
      <c r="GY14" s="113"/>
      <c r="GZ14" s="104"/>
      <c r="HA14" s="104"/>
      <c r="HB14" s="104"/>
      <c r="HC14" s="104"/>
      <c r="HD14" s="104"/>
      <c r="HE14" s="104"/>
      <c r="HF14" s="104"/>
      <c r="HG14" s="104"/>
      <c r="HH14" s="104"/>
      <c r="HI14" s="104"/>
      <c r="HJ14" s="104"/>
      <c r="HK14" s="104"/>
      <c r="HL14" s="104"/>
      <c r="HM14" s="104"/>
      <c r="HN14" s="104"/>
      <c r="HO14" s="104"/>
      <c r="HP14" s="104"/>
      <c r="HQ14" s="104"/>
      <c r="HR14" s="112"/>
      <c r="HS14" s="112"/>
      <c r="HT14" s="112"/>
      <c r="HU14" s="112"/>
      <c r="HV14" s="113"/>
      <c r="HW14" s="104"/>
      <c r="HX14" s="104"/>
      <c r="HY14" s="104"/>
      <c r="HZ14" s="104"/>
      <c r="IA14" s="104"/>
      <c r="IB14" s="104"/>
      <c r="IC14" s="104"/>
      <c r="ID14" s="104"/>
      <c r="IE14" s="104"/>
      <c r="IF14" s="104"/>
      <c r="IG14" s="104"/>
      <c r="IH14" s="104"/>
      <c r="II14" s="104"/>
      <c r="IJ14" s="104"/>
      <c r="IK14" s="104"/>
      <c r="IL14" s="104"/>
      <c r="IM14" s="104"/>
      <c r="IN14" s="104"/>
      <c r="IO14" s="112"/>
      <c r="IP14" s="112"/>
      <c r="IQ14" s="112"/>
      <c r="IR14" s="112"/>
      <c r="IS14" s="113"/>
      <c r="IT14" s="104"/>
      <c r="IU14" s="104"/>
      <c r="IV14" s="104"/>
      <c r="IW14" s="104"/>
      <c r="IX14" s="104"/>
      <c r="IY14" s="104"/>
      <c r="IZ14" s="104"/>
      <c r="JA14" s="104"/>
      <c r="JB14" s="104"/>
      <c r="JC14" s="104"/>
      <c r="JD14" s="104"/>
      <c r="JE14" s="104"/>
      <c r="JF14" s="104"/>
      <c r="JG14" s="104"/>
      <c r="JH14" s="104"/>
      <c r="JI14" s="104"/>
      <c r="JJ14" s="104"/>
      <c r="JK14" s="104"/>
      <c r="JL14" s="112"/>
      <c r="JM14" s="112"/>
      <c r="JN14" s="112"/>
      <c r="JO14" s="112"/>
      <c r="JP14" s="113"/>
      <c r="JQ14" s="104"/>
      <c r="JR14" s="104"/>
      <c r="JS14" s="104"/>
      <c r="JT14" s="104"/>
      <c r="JU14" s="104"/>
      <c r="JV14" s="104"/>
      <c r="JW14" s="104"/>
      <c r="JX14" s="104"/>
      <c r="JY14" s="104"/>
      <c r="JZ14" s="104"/>
      <c r="KA14" s="104"/>
      <c r="KB14" s="104"/>
      <c r="KC14" s="104"/>
      <c r="KD14" s="104"/>
      <c r="KE14" s="104"/>
      <c r="KF14" s="104"/>
      <c r="KG14" s="104"/>
      <c r="KH14" s="104"/>
      <c r="KI14" s="112"/>
      <c r="KJ14" s="112"/>
      <c r="KK14" s="112"/>
      <c r="KL14" s="112"/>
      <c r="KM14" s="113"/>
      <c r="KN14" s="104"/>
      <c r="KO14" s="104"/>
      <c r="KP14" s="104"/>
      <c r="KQ14" s="104"/>
      <c r="KR14" s="104"/>
      <c r="KS14" s="104"/>
      <c r="KT14" s="104"/>
      <c r="KU14" s="104"/>
      <c r="KV14" s="104"/>
      <c r="KW14" s="104"/>
      <c r="KX14" s="104"/>
      <c r="KY14" s="104"/>
      <c r="KZ14" s="104"/>
      <c r="LA14" s="104"/>
      <c r="LB14" s="104"/>
      <c r="LC14" s="104"/>
      <c r="LD14" s="104"/>
      <c r="LE14" s="104"/>
      <c r="LF14" s="112"/>
      <c r="LG14" s="112"/>
      <c r="LH14" s="112"/>
      <c r="LI14" s="112"/>
      <c r="LJ14" s="113"/>
      <c r="LK14" s="104"/>
      <c r="LL14" s="104"/>
      <c r="LM14" s="104"/>
      <c r="LN14" s="104"/>
      <c r="LO14" s="104"/>
      <c r="LP14" s="104"/>
      <c r="LQ14" s="104"/>
      <c r="LR14" s="104"/>
      <c r="LS14" s="104"/>
      <c r="LT14" s="104"/>
      <c r="LU14" s="104"/>
      <c r="LV14" s="104"/>
      <c r="LW14" s="104"/>
      <c r="LX14" s="104"/>
      <c r="LY14" s="104"/>
      <c r="LZ14" s="104"/>
      <c r="MA14" s="104"/>
      <c r="MB14" s="104"/>
      <c r="MC14" s="112"/>
      <c r="MD14" s="112"/>
      <c r="ME14" s="112"/>
      <c r="MF14" s="112"/>
      <c r="MG14" s="113"/>
      <c r="MH14" s="104"/>
      <c r="MI14" s="104"/>
      <c r="MJ14" s="104"/>
      <c r="MK14" s="104"/>
      <c r="ML14" s="104"/>
      <c r="MM14" s="104"/>
      <c r="MN14" s="104"/>
      <c r="MO14" s="104"/>
      <c r="MP14" s="104"/>
      <c r="MQ14" s="104"/>
      <c r="MR14" s="104"/>
      <c r="MS14" s="104"/>
      <c r="MT14" s="104"/>
      <c r="MU14" s="104"/>
      <c r="MV14" s="104"/>
      <c r="MW14" s="104"/>
      <c r="MX14" s="104"/>
      <c r="MY14" s="104"/>
      <c r="MZ14" s="112"/>
      <c r="NA14" s="112"/>
      <c r="NB14" s="112"/>
      <c r="NC14" s="112"/>
      <c r="ND14" s="113"/>
      <c r="NE14" s="104"/>
      <c r="NF14" s="104"/>
      <c r="NG14" s="104"/>
      <c r="NH14" s="104"/>
      <c r="NI14" s="104"/>
      <c r="NJ14" s="104"/>
      <c r="NK14" s="104"/>
      <c r="NL14" s="104"/>
      <c r="NM14" s="104"/>
      <c r="NN14" s="104"/>
      <c r="NO14" s="104"/>
      <c r="NP14" s="104"/>
      <c r="NQ14" s="104"/>
      <c r="NR14" s="104"/>
      <c r="NS14" s="104"/>
      <c r="NT14" s="104"/>
      <c r="NU14" s="104"/>
      <c r="NV14" s="104"/>
      <c r="NW14" s="112"/>
      <c r="NX14" s="112"/>
      <c r="NY14" s="112"/>
      <c r="NZ14" s="112"/>
      <c r="OA14" s="113"/>
      <c r="OB14" s="104"/>
      <c r="OC14" s="104"/>
      <c r="OD14" s="104"/>
      <c r="OE14" s="104"/>
      <c r="OF14" s="104"/>
      <c r="OG14" s="104"/>
      <c r="OH14" s="104"/>
      <c r="OI14" s="104"/>
      <c r="OJ14" s="104"/>
      <c r="OK14" s="104"/>
      <c r="OL14" s="104"/>
      <c r="OM14" s="104"/>
      <c r="ON14" s="104"/>
      <c r="OO14" s="104"/>
      <c r="OP14" s="104"/>
      <c r="OQ14" s="104"/>
      <c r="OR14" s="104"/>
      <c r="OS14" s="104"/>
      <c r="OT14" s="112"/>
      <c r="OU14" s="112"/>
      <c r="OV14" s="112"/>
      <c r="OW14" s="112"/>
      <c r="OX14" s="113"/>
      <c r="OY14" s="104"/>
      <c r="OZ14" s="104"/>
      <c r="PA14" s="104"/>
      <c r="PB14" s="104"/>
      <c r="PC14" s="104"/>
      <c r="PD14" s="104"/>
      <c r="PE14" s="104"/>
      <c r="PF14" s="104"/>
      <c r="PG14" s="104"/>
      <c r="PH14" s="104"/>
      <c r="PI14" s="104"/>
      <c r="PJ14" s="104"/>
      <c r="PK14" s="104"/>
      <c r="PL14" s="104"/>
      <c r="PM14" s="104"/>
      <c r="PN14" s="104"/>
      <c r="PO14" s="104"/>
      <c r="PP14" s="104"/>
      <c r="PQ14" s="112"/>
      <c r="PR14" s="112"/>
      <c r="PS14" s="112"/>
      <c r="PT14" s="112"/>
      <c r="PU14" s="113"/>
      <c r="PV14" s="104"/>
      <c r="PW14" s="104"/>
      <c r="PX14" s="104"/>
      <c r="PY14" s="104"/>
      <c r="PZ14" s="104"/>
      <c r="QA14" s="104"/>
      <c r="QB14" s="104"/>
      <c r="QC14" s="104"/>
      <c r="QD14" s="104"/>
      <c r="QE14" s="104"/>
      <c r="QF14" s="104"/>
      <c r="QG14" s="104"/>
      <c r="QH14" s="104"/>
      <c r="QI14" s="104"/>
      <c r="QJ14" s="104"/>
      <c r="QK14" s="104"/>
      <c r="QL14" s="104"/>
      <c r="QM14" s="104"/>
      <c r="QN14" s="112"/>
      <c r="QO14" s="112"/>
      <c r="QP14" s="112"/>
      <c r="QQ14" s="112"/>
      <c r="QR14" s="113"/>
    </row>
    <row r="15" spans="1:532" s="114" customFormat="1" ht="45" customHeight="1" x14ac:dyDescent="0.4">
      <c r="A15" s="124" t="s">
        <v>35</v>
      </c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RP15" s="102"/>
      <c r="RQ15" s="102"/>
      <c r="RR15" s="102"/>
      <c r="RS15" s="102"/>
      <c r="RT15" s="102"/>
      <c r="RU15" s="102"/>
      <c r="RV15" s="102"/>
      <c r="RW15" s="102"/>
      <c r="RX15" s="102"/>
      <c r="RY15" s="102"/>
      <c r="RZ15" s="102"/>
      <c r="SA15" s="102"/>
      <c r="SB15" s="102"/>
      <c r="SC15" s="102"/>
      <c r="SD15" s="102"/>
      <c r="SE15" s="102"/>
      <c r="SF15" s="102"/>
      <c r="SG15" s="102"/>
      <c r="SH15" s="102"/>
      <c r="SI15" s="102"/>
      <c r="SJ15" s="102"/>
      <c r="SK15" s="102"/>
      <c r="SL15" s="102"/>
      <c r="SM15" s="102"/>
      <c r="SN15" s="102"/>
      <c r="SO15" s="102"/>
      <c r="SP15" s="102"/>
      <c r="SQ15" s="102"/>
      <c r="SR15" s="102"/>
      <c r="SS15" s="102"/>
      <c r="ST15" s="102"/>
      <c r="SU15" s="102"/>
      <c r="SV15" s="102"/>
      <c r="SW15" s="102"/>
      <c r="SX15" s="102"/>
      <c r="SY15" s="102"/>
      <c r="SZ15" s="102"/>
      <c r="TA15" s="102"/>
      <c r="TB15" s="102"/>
      <c r="TC15" s="102"/>
      <c r="TD15" s="102"/>
      <c r="TE15" s="102"/>
      <c r="TF15" s="102"/>
      <c r="TG15" s="102"/>
      <c r="TH15" s="102"/>
      <c r="TI15" s="102"/>
      <c r="TJ15" s="102"/>
      <c r="TK15" s="102"/>
      <c r="TL15" s="102"/>
    </row>
    <row r="16" spans="1:532" ht="45" customHeight="1" x14ac:dyDescent="0.4">
      <c r="A16" s="124" t="s">
        <v>22</v>
      </c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GZ16" s="114"/>
    </row>
    <row r="17" spans="1:321" ht="45" customHeight="1" x14ac:dyDescent="0.2">
      <c r="JZ17" s="115"/>
    </row>
    <row r="18" spans="1:321" ht="45" customHeight="1" x14ac:dyDescent="0.4">
      <c r="A18" s="116"/>
      <c r="B18" s="104"/>
      <c r="C18" s="104"/>
      <c r="D18" s="104"/>
      <c r="E18" s="104"/>
      <c r="F18" s="104"/>
      <c r="G18" s="104"/>
      <c r="H18" s="104"/>
      <c r="I18" s="104"/>
      <c r="J18" s="104"/>
      <c r="K18" s="104"/>
      <c r="L18" s="104"/>
      <c r="M18" s="104"/>
      <c r="N18" s="117"/>
    </row>
    <row r="19" spans="1:321" s="169" customFormat="1" ht="45" customHeight="1" x14ac:dyDescent="0.2">
      <c r="A19" s="128" t="s">
        <v>59</v>
      </c>
      <c r="B19" s="169" t="s">
        <v>0</v>
      </c>
      <c r="C19" s="169" t="s">
        <v>1</v>
      </c>
      <c r="D19" s="169" t="s">
        <v>2</v>
      </c>
      <c r="E19" s="169" t="s">
        <v>3</v>
      </c>
      <c r="F19" s="169" t="s">
        <v>4</v>
      </c>
      <c r="G19" s="169" t="s">
        <v>5</v>
      </c>
      <c r="H19" s="169" t="s">
        <v>6</v>
      </c>
      <c r="I19" s="169" t="s">
        <v>7</v>
      </c>
      <c r="J19" s="169" t="s">
        <v>10</v>
      </c>
      <c r="K19" s="169" t="s">
        <v>11</v>
      </c>
      <c r="L19" s="169" t="s">
        <v>12</v>
      </c>
      <c r="M19" s="169" t="s">
        <v>13</v>
      </c>
      <c r="N19" s="169" t="s">
        <v>14</v>
      </c>
      <c r="O19" s="169" t="s">
        <v>15</v>
      </c>
      <c r="P19" s="169" t="s">
        <v>16</v>
      </c>
      <c r="Q19" s="169" t="s">
        <v>17</v>
      </c>
      <c r="R19" s="169" t="s">
        <v>18</v>
      </c>
      <c r="S19" s="169" t="s">
        <v>19</v>
      </c>
      <c r="T19" s="169" t="s">
        <v>20</v>
      </c>
      <c r="U19" s="169" t="s">
        <v>60</v>
      </c>
      <c r="V19" s="128" t="s">
        <v>61</v>
      </c>
      <c r="W19" s="169" t="s">
        <v>0</v>
      </c>
      <c r="X19" s="169" t="s">
        <v>1</v>
      </c>
      <c r="Y19" s="169" t="s">
        <v>2</v>
      </c>
      <c r="Z19" s="169" t="s">
        <v>3</v>
      </c>
      <c r="AA19" s="169" t="s">
        <v>4</v>
      </c>
      <c r="AB19" s="169" t="s">
        <v>5</v>
      </c>
      <c r="AC19" s="169" t="s">
        <v>6</v>
      </c>
      <c r="AD19" s="169" t="s">
        <v>7</v>
      </c>
      <c r="AE19" s="169" t="s">
        <v>10</v>
      </c>
      <c r="AF19" s="169" t="s">
        <v>11</v>
      </c>
      <c r="AG19" s="169" t="s">
        <v>12</v>
      </c>
      <c r="AH19" s="169" t="s">
        <v>13</v>
      </c>
      <c r="AI19" s="169" t="s">
        <v>14</v>
      </c>
      <c r="AJ19" s="169" t="s">
        <v>15</v>
      </c>
      <c r="AK19" s="169" t="s">
        <v>16</v>
      </c>
      <c r="AL19" s="169" t="s">
        <v>17</v>
      </c>
      <c r="AM19" s="169" t="s">
        <v>18</v>
      </c>
      <c r="AN19" s="169" t="s">
        <v>19</v>
      </c>
      <c r="AO19" s="169" t="s">
        <v>20</v>
      </c>
      <c r="AP19" s="169" t="s">
        <v>60</v>
      </c>
      <c r="AQ19" s="128" t="s">
        <v>62</v>
      </c>
      <c r="AR19" s="169" t="s">
        <v>0</v>
      </c>
      <c r="AS19" s="169" t="s">
        <v>1</v>
      </c>
      <c r="AT19" s="169" t="s">
        <v>2</v>
      </c>
      <c r="AU19" s="169" t="s">
        <v>3</v>
      </c>
      <c r="AV19" s="169" t="s">
        <v>4</v>
      </c>
      <c r="AW19" s="169" t="s">
        <v>5</v>
      </c>
      <c r="AX19" s="169" t="s">
        <v>6</v>
      </c>
      <c r="AY19" s="169" t="s">
        <v>7</v>
      </c>
      <c r="AZ19" s="169" t="s">
        <v>10</v>
      </c>
      <c r="BA19" s="169" t="s">
        <v>11</v>
      </c>
      <c r="BB19" s="169" t="s">
        <v>12</v>
      </c>
      <c r="BC19" s="169" t="s">
        <v>13</v>
      </c>
      <c r="BD19" s="169" t="s">
        <v>14</v>
      </c>
      <c r="BE19" s="169" t="s">
        <v>15</v>
      </c>
      <c r="BF19" s="169" t="s">
        <v>16</v>
      </c>
      <c r="BG19" s="169" t="s">
        <v>17</v>
      </c>
      <c r="BH19" s="169" t="s">
        <v>18</v>
      </c>
      <c r="BI19" s="169" t="s">
        <v>19</v>
      </c>
      <c r="BJ19" s="169" t="s">
        <v>20</v>
      </c>
      <c r="BK19" s="169" t="s">
        <v>60</v>
      </c>
      <c r="BL19" s="128" t="s">
        <v>63</v>
      </c>
      <c r="BM19" s="169" t="s">
        <v>0</v>
      </c>
      <c r="BN19" s="169" t="s">
        <v>1</v>
      </c>
      <c r="BO19" s="169" t="s">
        <v>2</v>
      </c>
      <c r="BP19" s="169" t="s">
        <v>3</v>
      </c>
      <c r="BQ19" s="169" t="s">
        <v>4</v>
      </c>
      <c r="BR19" s="169" t="s">
        <v>5</v>
      </c>
      <c r="BS19" s="169" t="s">
        <v>6</v>
      </c>
      <c r="BT19" s="169" t="s">
        <v>7</v>
      </c>
      <c r="BU19" s="169" t="s">
        <v>10</v>
      </c>
      <c r="BV19" s="169" t="s">
        <v>11</v>
      </c>
      <c r="BW19" s="169" t="s">
        <v>12</v>
      </c>
      <c r="BX19" s="169" t="s">
        <v>13</v>
      </c>
      <c r="BY19" s="169" t="s">
        <v>14</v>
      </c>
      <c r="BZ19" s="169" t="s">
        <v>15</v>
      </c>
      <c r="CA19" s="169" t="s">
        <v>16</v>
      </c>
      <c r="CB19" s="169" t="s">
        <v>17</v>
      </c>
      <c r="CC19" s="169" t="s">
        <v>18</v>
      </c>
      <c r="CD19" s="169" t="s">
        <v>19</v>
      </c>
      <c r="CE19" s="169" t="s">
        <v>20</v>
      </c>
      <c r="CF19" s="169" t="s">
        <v>60</v>
      </c>
      <c r="CG19" s="128" t="s">
        <v>64</v>
      </c>
      <c r="CH19" s="169" t="s">
        <v>0</v>
      </c>
      <c r="CI19" s="169" t="s">
        <v>1</v>
      </c>
      <c r="CJ19" s="169" t="s">
        <v>2</v>
      </c>
      <c r="CK19" s="169" t="s">
        <v>3</v>
      </c>
      <c r="CL19" s="169" t="s">
        <v>4</v>
      </c>
      <c r="CM19" s="169" t="s">
        <v>5</v>
      </c>
      <c r="CN19" s="169" t="s">
        <v>6</v>
      </c>
      <c r="CO19" s="169" t="s">
        <v>7</v>
      </c>
      <c r="CP19" s="169" t="s">
        <v>10</v>
      </c>
      <c r="CQ19" s="169" t="s">
        <v>11</v>
      </c>
      <c r="CR19" s="169" t="s">
        <v>12</v>
      </c>
      <c r="CS19" s="169" t="s">
        <v>13</v>
      </c>
      <c r="CT19" s="169" t="s">
        <v>14</v>
      </c>
      <c r="CU19" s="169" t="s">
        <v>15</v>
      </c>
      <c r="CV19" s="169" t="s">
        <v>16</v>
      </c>
      <c r="CW19" s="169" t="s">
        <v>17</v>
      </c>
      <c r="CX19" s="169" t="s">
        <v>18</v>
      </c>
      <c r="CY19" s="169" t="s">
        <v>19</v>
      </c>
      <c r="CZ19" s="169" t="s">
        <v>20</v>
      </c>
      <c r="DA19" s="169" t="s">
        <v>60</v>
      </c>
      <c r="DB19" s="128" t="s">
        <v>65</v>
      </c>
      <c r="DC19" s="169" t="s">
        <v>0</v>
      </c>
      <c r="DD19" s="169" t="s">
        <v>1</v>
      </c>
      <c r="DE19" s="169" t="s">
        <v>2</v>
      </c>
      <c r="DF19" s="169" t="s">
        <v>3</v>
      </c>
      <c r="DG19" s="169" t="s">
        <v>4</v>
      </c>
      <c r="DH19" s="169" t="s">
        <v>5</v>
      </c>
      <c r="DI19" s="169" t="s">
        <v>6</v>
      </c>
      <c r="DJ19" s="169" t="s">
        <v>7</v>
      </c>
      <c r="DK19" s="169" t="s">
        <v>10</v>
      </c>
      <c r="DL19" s="169" t="s">
        <v>11</v>
      </c>
      <c r="DM19" s="169" t="s">
        <v>12</v>
      </c>
      <c r="DN19" s="169" t="s">
        <v>13</v>
      </c>
      <c r="DO19" s="169" t="s">
        <v>14</v>
      </c>
      <c r="DP19" s="169" t="s">
        <v>15</v>
      </c>
      <c r="DQ19" s="169" t="s">
        <v>16</v>
      </c>
      <c r="DR19" s="169" t="s">
        <v>17</v>
      </c>
      <c r="DS19" s="169" t="s">
        <v>18</v>
      </c>
      <c r="DT19" s="169" t="s">
        <v>19</v>
      </c>
      <c r="DU19" s="169" t="s">
        <v>20</v>
      </c>
      <c r="DV19" s="169" t="s">
        <v>60</v>
      </c>
      <c r="DW19" s="128" t="s">
        <v>66</v>
      </c>
      <c r="DX19" s="169" t="s">
        <v>0</v>
      </c>
      <c r="DY19" s="169" t="s">
        <v>1</v>
      </c>
      <c r="DZ19" s="169" t="s">
        <v>2</v>
      </c>
      <c r="EA19" s="169" t="s">
        <v>3</v>
      </c>
      <c r="EB19" s="169" t="s">
        <v>4</v>
      </c>
      <c r="EC19" s="169" t="s">
        <v>5</v>
      </c>
      <c r="ED19" s="169" t="s">
        <v>6</v>
      </c>
      <c r="EE19" s="169" t="s">
        <v>7</v>
      </c>
      <c r="EF19" s="169" t="s">
        <v>10</v>
      </c>
      <c r="EG19" s="169" t="s">
        <v>11</v>
      </c>
      <c r="EH19" s="169" t="s">
        <v>12</v>
      </c>
      <c r="EI19" s="169" t="s">
        <v>13</v>
      </c>
      <c r="EJ19" s="169" t="s">
        <v>14</v>
      </c>
      <c r="EK19" s="169" t="s">
        <v>15</v>
      </c>
      <c r="EL19" s="169" t="s">
        <v>16</v>
      </c>
      <c r="EM19" s="169" t="s">
        <v>17</v>
      </c>
      <c r="EN19" s="169" t="s">
        <v>18</v>
      </c>
      <c r="EO19" s="169" t="s">
        <v>19</v>
      </c>
      <c r="EP19" s="169" t="s">
        <v>20</v>
      </c>
      <c r="EQ19" s="169" t="s">
        <v>60</v>
      </c>
      <c r="ER19" s="128" t="s">
        <v>67</v>
      </c>
      <c r="ES19" s="169" t="s">
        <v>0</v>
      </c>
      <c r="ET19" s="169" t="s">
        <v>1</v>
      </c>
      <c r="EU19" s="169" t="s">
        <v>2</v>
      </c>
      <c r="EV19" s="169" t="s">
        <v>3</v>
      </c>
      <c r="EW19" s="169" t="s">
        <v>4</v>
      </c>
      <c r="EX19" s="169" t="s">
        <v>5</v>
      </c>
      <c r="EY19" s="169" t="s">
        <v>6</v>
      </c>
      <c r="EZ19" s="169" t="s">
        <v>7</v>
      </c>
      <c r="FA19" s="169" t="s">
        <v>10</v>
      </c>
      <c r="FB19" s="169" t="s">
        <v>11</v>
      </c>
      <c r="FC19" s="169" t="s">
        <v>12</v>
      </c>
      <c r="FD19" s="169" t="s">
        <v>13</v>
      </c>
      <c r="FE19" s="169" t="s">
        <v>14</v>
      </c>
      <c r="FF19" s="169" t="s">
        <v>15</v>
      </c>
      <c r="FG19" s="169" t="s">
        <v>16</v>
      </c>
      <c r="FH19" s="169" t="s">
        <v>17</v>
      </c>
      <c r="FI19" s="169" t="s">
        <v>18</v>
      </c>
      <c r="FJ19" s="169" t="s">
        <v>19</v>
      </c>
      <c r="FK19" s="169" t="s">
        <v>20</v>
      </c>
      <c r="FL19" s="169" t="s">
        <v>60</v>
      </c>
      <c r="FM19" s="128" t="s">
        <v>68</v>
      </c>
      <c r="FN19" s="169" t="s">
        <v>0</v>
      </c>
      <c r="FO19" s="169" t="s">
        <v>1</v>
      </c>
      <c r="FP19" s="169" t="s">
        <v>2</v>
      </c>
      <c r="FQ19" s="169" t="s">
        <v>3</v>
      </c>
      <c r="FR19" s="169" t="s">
        <v>4</v>
      </c>
      <c r="FS19" s="169" t="s">
        <v>5</v>
      </c>
      <c r="FT19" s="169" t="s">
        <v>6</v>
      </c>
      <c r="FU19" s="169" t="s">
        <v>7</v>
      </c>
      <c r="FV19" s="169" t="s">
        <v>10</v>
      </c>
      <c r="FW19" s="169" t="s">
        <v>11</v>
      </c>
      <c r="FX19" s="169" t="s">
        <v>12</v>
      </c>
      <c r="FY19" s="169" t="s">
        <v>13</v>
      </c>
      <c r="FZ19" s="169" t="s">
        <v>14</v>
      </c>
      <c r="GA19" s="169" t="s">
        <v>15</v>
      </c>
      <c r="GB19" s="169" t="s">
        <v>16</v>
      </c>
      <c r="GC19" s="169" t="s">
        <v>17</v>
      </c>
      <c r="GD19" s="169" t="s">
        <v>18</v>
      </c>
      <c r="GE19" s="169" t="s">
        <v>19</v>
      </c>
      <c r="GF19" s="169" t="s">
        <v>20</v>
      </c>
      <c r="GG19" s="169" t="s">
        <v>60</v>
      </c>
      <c r="GH19" s="128" t="s">
        <v>69</v>
      </c>
      <c r="GI19" s="169" t="s">
        <v>0</v>
      </c>
      <c r="GJ19" s="169" t="s">
        <v>1</v>
      </c>
      <c r="GK19" s="169" t="s">
        <v>2</v>
      </c>
      <c r="GL19" s="169" t="s">
        <v>3</v>
      </c>
      <c r="GM19" s="169" t="s">
        <v>4</v>
      </c>
      <c r="GN19" s="169" t="s">
        <v>5</v>
      </c>
      <c r="GO19" s="169" t="s">
        <v>6</v>
      </c>
      <c r="GP19" s="169" t="s">
        <v>7</v>
      </c>
      <c r="GQ19" s="169" t="s">
        <v>10</v>
      </c>
      <c r="GR19" s="169" t="s">
        <v>11</v>
      </c>
      <c r="GS19" s="169" t="s">
        <v>12</v>
      </c>
      <c r="GT19" s="169" t="s">
        <v>13</v>
      </c>
      <c r="GU19" s="169" t="s">
        <v>14</v>
      </c>
      <c r="GV19" s="169" t="s">
        <v>15</v>
      </c>
      <c r="GW19" s="169" t="s">
        <v>16</v>
      </c>
      <c r="GX19" s="169" t="s">
        <v>17</v>
      </c>
      <c r="GY19" s="169" t="s">
        <v>18</v>
      </c>
      <c r="GZ19" s="169" t="s">
        <v>19</v>
      </c>
      <c r="HA19" s="169" t="s">
        <v>20</v>
      </c>
      <c r="HB19" s="169" t="s">
        <v>60</v>
      </c>
      <c r="HC19" s="128" t="s">
        <v>70</v>
      </c>
      <c r="HD19" s="169" t="s">
        <v>0</v>
      </c>
      <c r="HE19" s="169" t="s">
        <v>1</v>
      </c>
      <c r="HF19" s="169" t="s">
        <v>2</v>
      </c>
      <c r="HG19" s="169" t="s">
        <v>3</v>
      </c>
      <c r="HH19" s="169" t="s">
        <v>4</v>
      </c>
      <c r="HI19" s="169" t="s">
        <v>5</v>
      </c>
      <c r="HJ19" s="169" t="s">
        <v>6</v>
      </c>
      <c r="HK19" s="169" t="s">
        <v>7</v>
      </c>
      <c r="HL19" s="169" t="s">
        <v>10</v>
      </c>
      <c r="HM19" s="169" t="s">
        <v>11</v>
      </c>
      <c r="HN19" s="169" t="s">
        <v>12</v>
      </c>
      <c r="HO19" s="169" t="s">
        <v>13</v>
      </c>
      <c r="HP19" s="169" t="s">
        <v>14</v>
      </c>
      <c r="HQ19" s="169" t="s">
        <v>15</v>
      </c>
      <c r="HR19" s="169" t="s">
        <v>16</v>
      </c>
      <c r="HS19" s="169" t="s">
        <v>17</v>
      </c>
      <c r="HT19" s="169" t="s">
        <v>18</v>
      </c>
      <c r="HU19" s="169" t="s">
        <v>19</v>
      </c>
      <c r="HV19" s="169" t="s">
        <v>20</v>
      </c>
      <c r="HW19" s="169" t="s">
        <v>60</v>
      </c>
      <c r="HX19" s="128" t="s">
        <v>71</v>
      </c>
      <c r="HY19" s="169" t="s">
        <v>0</v>
      </c>
      <c r="HZ19" s="169" t="s">
        <v>1</v>
      </c>
      <c r="IA19" s="169" t="s">
        <v>2</v>
      </c>
      <c r="IB19" s="169" t="s">
        <v>3</v>
      </c>
      <c r="IC19" s="169" t="s">
        <v>4</v>
      </c>
      <c r="ID19" s="169" t="s">
        <v>5</v>
      </c>
      <c r="IE19" s="169" t="s">
        <v>6</v>
      </c>
      <c r="IF19" s="169" t="s">
        <v>7</v>
      </c>
      <c r="IG19" s="169" t="s">
        <v>10</v>
      </c>
      <c r="IH19" s="169" t="s">
        <v>11</v>
      </c>
      <c r="II19" s="169" t="s">
        <v>12</v>
      </c>
      <c r="IJ19" s="169" t="s">
        <v>13</v>
      </c>
      <c r="IK19" s="169" t="s">
        <v>14</v>
      </c>
      <c r="IL19" s="169" t="s">
        <v>15</v>
      </c>
      <c r="IM19" s="169" t="s">
        <v>16</v>
      </c>
      <c r="IN19" s="169" t="s">
        <v>17</v>
      </c>
      <c r="IO19" s="169" t="s">
        <v>18</v>
      </c>
      <c r="IP19" s="169" t="s">
        <v>19</v>
      </c>
      <c r="IQ19" s="169" t="s">
        <v>20</v>
      </c>
      <c r="IR19" s="169" t="s">
        <v>60</v>
      </c>
      <c r="IS19" s="128" t="s">
        <v>72</v>
      </c>
      <c r="IT19" s="169" t="s">
        <v>0</v>
      </c>
      <c r="IU19" s="169" t="s">
        <v>1</v>
      </c>
      <c r="IV19" s="169" t="s">
        <v>2</v>
      </c>
      <c r="IW19" s="169" t="s">
        <v>3</v>
      </c>
      <c r="IX19" s="169" t="s">
        <v>4</v>
      </c>
      <c r="IY19" s="169" t="s">
        <v>5</v>
      </c>
      <c r="IZ19" s="169" t="s">
        <v>6</v>
      </c>
      <c r="JA19" s="169" t="s">
        <v>7</v>
      </c>
      <c r="JB19" s="169" t="s">
        <v>10</v>
      </c>
      <c r="JC19" s="169" t="s">
        <v>11</v>
      </c>
      <c r="JD19" s="169" t="s">
        <v>12</v>
      </c>
      <c r="JE19" s="169" t="s">
        <v>13</v>
      </c>
      <c r="JF19" s="169" t="s">
        <v>14</v>
      </c>
      <c r="JG19" s="169" t="s">
        <v>15</v>
      </c>
      <c r="JH19" s="169" t="s">
        <v>16</v>
      </c>
      <c r="JI19" s="169" t="s">
        <v>17</v>
      </c>
      <c r="JJ19" s="169" t="s">
        <v>18</v>
      </c>
      <c r="JK19" s="169" t="s">
        <v>19</v>
      </c>
      <c r="JL19" s="169" t="s">
        <v>20</v>
      </c>
      <c r="JM19" s="169" t="s">
        <v>60</v>
      </c>
      <c r="JN19" s="128" t="s">
        <v>73</v>
      </c>
      <c r="JO19" s="169" t="s">
        <v>0</v>
      </c>
      <c r="JP19" s="169" t="s">
        <v>1</v>
      </c>
      <c r="JQ19" s="169" t="s">
        <v>2</v>
      </c>
      <c r="JR19" s="169" t="s">
        <v>3</v>
      </c>
      <c r="JS19" s="169" t="s">
        <v>4</v>
      </c>
      <c r="JT19" s="169" t="s">
        <v>5</v>
      </c>
      <c r="JU19" s="169" t="s">
        <v>6</v>
      </c>
      <c r="JV19" s="169" t="s">
        <v>7</v>
      </c>
      <c r="JW19" s="169" t="s">
        <v>10</v>
      </c>
      <c r="JX19" s="169" t="s">
        <v>11</v>
      </c>
      <c r="JY19" s="169" t="s">
        <v>12</v>
      </c>
      <c r="JZ19" s="169" t="s">
        <v>13</v>
      </c>
      <c r="KA19" s="169" t="s">
        <v>14</v>
      </c>
      <c r="KB19" s="169" t="s">
        <v>15</v>
      </c>
      <c r="KC19" s="169" t="s">
        <v>16</v>
      </c>
      <c r="KD19" s="169" t="s">
        <v>17</v>
      </c>
      <c r="KE19" s="169" t="s">
        <v>18</v>
      </c>
      <c r="KF19" s="169" t="s">
        <v>19</v>
      </c>
      <c r="KG19" s="169" t="s">
        <v>20</v>
      </c>
      <c r="KH19" s="169" t="s">
        <v>60</v>
      </c>
      <c r="KI19" s="128"/>
      <c r="KP19" s="128"/>
    </row>
    <row r="20" spans="1:321" s="143" customFormat="1" ht="45" customHeight="1" x14ac:dyDescent="0.2">
      <c r="A20" s="128" t="s">
        <v>74</v>
      </c>
      <c r="B20" s="143">
        <v>7</v>
      </c>
      <c r="C20" s="143">
        <v>14</v>
      </c>
      <c r="D20" s="143">
        <v>0</v>
      </c>
      <c r="E20" s="143">
        <v>7</v>
      </c>
      <c r="F20" s="143">
        <v>7</v>
      </c>
      <c r="G20" s="143">
        <v>21</v>
      </c>
      <c r="H20" s="143">
        <v>1</v>
      </c>
      <c r="I20" s="143">
        <v>2</v>
      </c>
      <c r="J20" s="143">
        <v>15</v>
      </c>
      <c r="K20" s="143">
        <v>9</v>
      </c>
      <c r="L20" s="143">
        <v>3</v>
      </c>
      <c r="M20" s="143">
        <v>0</v>
      </c>
      <c r="N20" s="143">
        <v>2</v>
      </c>
      <c r="O20" s="143">
        <v>2</v>
      </c>
      <c r="P20" s="143">
        <v>1</v>
      </c>
      <c r="Q20" s="144">
        <v>0.33333333333333331</v>
      </c>
      <c r="R20" s="144">
        <v>0.5</v>
      </c>
      <c r="S20" s="144">
        <v>0.5</v>
      </c>
      <c r="T20" s="144">
        <v>0</v>
      </c>
      <c r="U20" s="145">
        <v>8.9</v>
      </c>
      <c r="V20" s="128" t="s">
        <v>74</v>
      </c>
      <c r="W20" s="143">
        <v>8</v>
      </c>
      <c r="X20" s="143">
        <v>18</v>
      </c>
      <c r="Y20" s="143">
        <v>0</v>
      </c>
      <c r="Z20" s="143">
        <v>2</v>
      </c>
      <c r="AA20" s="143">
        <v>8</v>
      </c>
      <c r="AB20" s="143">
        <v>20</v>
      </c>
      <c r="AC20" s="143">
        <v>1</v>
      </c>
      <c r="AD20" s="143">
        <v>5</v>
      </c>
      <c r="AE20" s="143">
        <v>17</v>
      </c>
      <c r="AF20" s="143">
        <v>10</v>
      </c>
      <c r="AG20" s="143">
        <v>1</v>
      </c>
      <c r="AH20" s="143">
        <v>0</v>
      </c>
      <c r="AI20" s="143">
        <v>0</v>
      </c>
      <c r="AJ20" s="143">
        <v>1</v>
      </c>
      <c r="AK20" s="143">
        <v>3</v>
      </c>
      <c r="AL20" s="144">
        <v>0.4</v>
      </c>
      <c r="AM20" s="144">
        <v>0.2</v>
      </c>
      <c r="AN20" s="144">
        <v>0.44444444444444442</v>
      </c>
      <c r="AO20" s="144">
        <v>0</v>
      </c>
      <c r="AP20" s="145">
        <v>8.0999999999999979</v>
      </c>
      <c r="AQ20" s="128" t="s">
        <v>74</v>
      </c>
      <c r="AR20" s="143">
        <v>8</v>
      </c>
      <c r="AS20" s="143">
        <v>12</v>
      </c>
      <c r="AT20" s="143">
        <v>0</v>
      </c>
      <c r="AU20" s="143">
        <v>5</v>
      </c>
      <c r="AV20" s="143">
        <v>8</v>
      </c>
      <c r="AW20" s="143">
        <v>17</v>
      </c>
      <c r="AX20" s="143">
        <v>0</v>
      </c>
      <c r="AY20" s="143">
        <v>2</v>
      </c>
      <c r="AZ20" s="143">
        <v>16</v>
      </c>
      <c r="BA20" s="143">
        <v>6</v>
      </c>
      <c r="BB20" s="143">
        <v>2</v>
      </c>
      <c r="BC20" s="143">
        <v>0</v>
      </c>
      <c r="BD20" s="143">
        <v>0</v>
      </c>
      <c r="BE20" s="143">
        <v>0</v>
      </c>
      <c r="BF20" s="143">
        <v>2</v>
      </c>
      <c r="BG20" s="144">
        <v>0.47058823529411764</v>
      </c>
      <c r="BH20" s="144">
        <v>0</v>
      </c>
      <c r="BI20" s="144">
        <v>0.66666666666666663</v>
      </c>
      <c r="BJ20" s="144">
        <v>0</v>
      </c>
      <c r="BK20" s="145">
        <v>10.1</v>
      </c>
      <c r="BL20" s="128" t="s">
        <v>74</v>
      </c>
      <c r="BM20" s="143">
        <v>9</v>
      </c>
      <c r="BN20" s="143">
        <v>13</v>
      </c>
      <c r="BO20" s="143">
        <v>0</v>
      </c>
      <c r="BP20" s="143">
        <v>2</v>
      </c>
      <c r="BQ20" s="143">
        <v>9</v>
      </c>
      <c r="BR20" s="143">
        <v>15</v>
      </c>
      <c r="BS20" s="143">
        <v>2</v>
      </c>
      <c r="BT20" s="143">
        <v>4</v>
      </c>
      <c r="BU20" s="143">
        <v>20</v>
      </c>
      <c r="BV20" s="143">
        <v>6</v>
      </c>
      <c r="BW20" s="143">
        <v>3</v>
      </c>
      <c r="BX20" s="143">
        <v>0</v>
      </c>
      <c r="BY20" s="143">
        <v>3</v>
      </c>
      <c r="BZ20" s="143">
        <v>5</v>
      </c>
      <c r="CA20" s="143">
        <v>0</v>
      </c>
      <c r="CB20" s="144">
        <v>0.6</v>
      </c>
      <c r="CC20" s="144">
        <v>0.5</v>
      </c>
      <c r="CD20" s="144">
        <v>0.69230769230769229</v>
      </c>
      <c r="CE20" s="144">
        <v>0</v>
      </c>
      <c r="CF20" s="145">
        <v>15.399999999999999</v>
      </c>
      <c r="CG20" s="128" t="s">
        <v>74</v>
      </c>
      <c r="CH20" s="143">
        <v>8</v>
      </c>
      <c r="CI20" s="143">
        <v>14</v>
      </c>
      <c r="CJ20" s="143">
        <v>0</v>
      </c>
      <c r="CK20" s="143">
        <v>9</v>
      </c>
      <c r="CL20" s="143">
        <v>8</v>
      </c>
      <c r="CM20" s="143">
        <v>23</v>
      </c>
      <c r="CN20" s="143">
        <v>0</v>
      </c>
      <c r="CO20" s="143">
        <v>0</v>
      </c>
      <c r="CP20" s="143">
        <v>16</v>
      </c>
      <c r="CQ20" s="143">
        <v>9</v>
      </c>
      <c r="CR20" s="143">
        <v>6</v>
      </c>
      <c r="CS20" s="143">
        <v>0</v>
      </c>
      <c r="CT20" s="143">
        <v>1</v>
      </c>
      <c r="CU20" s="143">
        <v>2</v>
      </c>
      <c r="CV20" s="143">
        <v>0</v>
      </c>
      <c r="CW20" s="144">
        <v>0.34782608695652173</v>
      </c>
      <c r="CX20" s="144">
        <v>0</v>
      </c>
      <c r="CY20" s="144">
        <v>0.5714285714285714</v>
      </c>
      <c r="CZ20" s="144">
        <v>0</v>
      </c>
      <c r="DA20" s="145">
        <v>10.8</v>
      </c>
      <c r="DB20" s="128" t="s">
        <v>74</v>
      </c>
      <c r="DC20" s="143">
        <v>6</v>
      </c>
      <c r="DD20" s="143">
        <v>16</v>
      </c>
      <c r="DE20" s="143">
        <v>1</v>
      </c>
      <c r="DF20" s="143">
        <v>8</v>
      </c>
      <c r="DG20" s="143">
        <v>7</v>
      </c>
      <c r="DH20" s="143">
        <v>24</v>
      </c>
      <c r="DI20" s="143">
        <v>0</v>
      </c>
      <c r="DJ20" s="143">
        <v>4</v>
      </c>
      <c r="DK20" s="143">
        <v>15</v>
      </c>
      <c r="DL20" s="143">
        <v>10</v>
      </c>
      <c r="DM20" s="143">
        <v>1</v>
      </c>
      <c r="DN20" s="143">
        <v>0</v>
      </c>
      <c r="DO20" s="143">
        <v>1</v>
      </c>
      <c r="DP20" s="143">
        <v>2</v>
      </c>
      <c r="DQ20" s="143">
        <v>1</v>
      </c>
      <c r="DR20" s="144">
        <v>0.29166666666666669</v>
      </c>
      <c r="DS20" s="144">
        <v>0</v>
      </c>
      <c r="DT20" s="144">
        <v>0.375</v>
      </c>
      <c r="DU20" s="144">
        <v>0.125</v>
      </c>
      <c r="DV20" s="145">
        <v>3.7000000000000037</v>
      </c>
      <c r="DW20" s="128" t="s">
        <v>74</v>
      </c>
      <c r="DX20" s="143">
        <v>5</v>
      </c>
      <c r="DY20" s="143">
        <v>9</v>
      </c>
      <c r="DZ20" s="143">
        <v>0</v>
      </c>
      <c r="EA20" s="143">
        <v>5</v>
      </c>
      <c r="EB20" s="143">
        <v>5</v>
      </c>
      <c r="EC20" s="143">
        <v>14</v>
      </c>
      <c r="ED20" s="143">
        <v>2</v>
      </c>
      <c r="EE20" s="143">
        <v>4</v>
      </c>
      <c r="EF20" s="143">
        <v>12</v>
      </c>
      <c r="EG20" s="143">
        <v>4</v>
      </c>
      <c r="EH20" s="143">
        <v>0</v>
      </c>
      <c r="EI20" s="143">
        <v>0</v>
      </c>
      <c r="EJ20" s="143">
        <v>0</v>
      </c>
      <c r="EK20" s="143">
        <v>1</v>
      </c>
      <c r="EL20" s="143">
        <v>3</v>
      </c>
      <c r="EM20" s="144">
        <v>0.35714285714285715</v>
      </c>
      <c r="EN20" s="144">
        <v>0.5</v>
      </c>
      <c r="EO20" s="144">
        <v>0.55555555555555558</v>
      </c>
      <c r="EP20" s="144">
        <v>0</v>
      </c>
      <c r="EQ20" s="145">
        <v>3.2000000000000011</v>
      </c>
      <c r="ER20" s="128" t="s">
        <v>74</v>
      </c>
      <c r="ES20" s="143">
        <v>3</v>
      </c>
      <c r="ET20" s="143">
        <v>12</v>
      </c>
      <c r="EU20" s="143">
        <v>1</v>
      </c>
      <c r="EV20" s="143">
        <v>8</v>
      </c>
      <c r="EW20" s="143">
        <v>4</v>
      </c>
      <c r="EX20" s="143">
        <v>20</v>
      </c>
      <c r="EY20" s="143">
        <v>0</v>
      </c>
      <c r="EZ20" s="143">
        <v>2</v>
      </c>
      <c r="FA20" s="143">
        <v>9</v>
      </c>
      <c r="FB20" s="143">
        <v>5</v>
      </c>
      <c r="FC20" s="143">
        <v>3</v>
      </c>
      <c r="FD20" s="143">
        <v>0</v>
      </c>
      <c r="FE20" s="143">
        <v>0</v>
      </c>
      <c r="FF20" s="143">
        <v>3</v>
      </c>
      <c r="FG20" s="143">
        <v>0</v>
      </c>
      <c r="FH20" s="144">
        <v>0.2</v>
      </c>
      <c r="FI20" s="144">
        <v>0</v>
      </c>
      <c r="FJ20" s="144">
        <v>0.25</v>
      </c>
      <c r="FK20" s="144">
        <v>0.125</v>
      </c>
      <c r="FL20" s="145">
        <v>-2.6000000000000005</v>
      </c>
      <c r="FM20" s="128" t="s">
        <v>74</v>
      </c>
      <c r="FN20" s="143">
        <v>12</v>
      </c>
      <c r="FO20" s="143">
        <v>22</v>
      </c>
      <c r="FP20" s="143">
        <v>1</v>
      </c>
      <c r="FQ20" s="143">
        <v>3</v>
      </c>
      <c r="FR20" s="143">
        <v>13</v>
      </c>
      <c r="FS20" s="143">
        <v>25</v>
      </c>
      <c r="FT20" s="143">
        <v>3</v>
      </c>
      <c r="FU20" s="143">
        <v>7</v>
      </c>
      <c r="FV20" s="143">
        <v>30</v>
      </c>
      <c r="FW20" s="143">
        <v>14</v>
      </c>
      <c r="FX20" s="143">
        <v>1</v>
      </c>
      <c r="FZ20" s="143">
        <v>1</v>
      </c>
      <c r="GA20" s="143">
        <v>4</v>
      </c>
      <c r="GB20" s="143">
        <v>1</v>
      </c>
      <c r="GC20" s="144">
        <v>0.52</v>
      </c>
      <c r="GD20" s="144">
        <v>0.42857142857142855</v>
      </c>
      <c r="GE20" s="144">
        <v>0.54545454545454541</v>
      </c>
      <c r="GF20" s="144">
        <v>0.33333333333333331</v>
      </c>
      <c r="GG20" s="145">
        <v>20.400000000000002</v>
      </c>
      <c r="GH20" s="128" t="s">
        <v>74</v>
      </c>
      <c r="GI20" s="143">
        <v>11</v>
      </c>
      <c r="GJ20" s="143">
        <v>15</v>
      </c>
      <c r="GK20" s="143">
        <v>3</v>
      </c>
      <c r="GL20" s="143">
        <v>9</v>
      </c>
      <c r="GM20" s="143">
        <v>14</v>
      </c>
      <c r="GN20" s="143">
        <v>24</v>
      </c>
      <c r="GO20" s="143">
        <v>0</v>
      </c>
      <c r="GP20" s="143">
        <v>3</v>
      </c>
      <c r="GQ20" s="143">
        <v>31</v>
      </c>
      <c r="GR20" s="143">
        <v>13</v>
      </c>
      <c r="GS20" s="143">
        <v>8</v>
      </c>
      <c r="GT20" s="143">
        <v>1</v>
      </c>
      <c r="GU20" s="143">
        <v>2</v>
      </c>
      <c r="GV20" s="143">
        <v>2</v>
      </c>
      <c r="GW20" s="143">
        <v>0</v>
      </c>
      <c r="GX20" s="144">
        <v>0.58333333333333337</v>
      </c>
      <c r="GY20" s="144">
        <v>0</v>
      </c>
      <c r="GZ20" s="144">
        <v>0.73333333333333328</v>
      </c>
      <c r="HA20" s="144">
        <v>0.33333333333333331</v>
      </c>
      <c r="HB20" s="145">
        <v>31.400000000000006</v>
      </c>
      <c r="HC20" s="128" t="s">
        <v>74</v>
      </c>
      <c r="HD20" s="143">
        <v>10</v>
      </c>
      <c r="HE20" s="143">
        <v>15</v>
      </c>
      <c r="HF20" s="143">
        <v>0</v>
      </c>
      <c r="HG20" s="143">
        <v>4</v>
      </c>
      <c r="HH20" s="143">
        <v>10</v>
      </c>
      <c r="HI20" s="143">
        <v>19</v>
      </c>
      <c r="HJ20" s="143">
        <v>1</v>
      </c>
      <c r="HK20" s="143">
        <v>3</v>
      </c>
      <c r="HL20" s="143">
        <v>21</v>
      </c>
      <c r="HM20" s="143">
        <v>11</v>
      </c>
      <c r="HN20" s="143">
        <v>7</v>
      </c>
      <c r="HO20" s="143">
        <v>0</v>
      </c>
      <c r="HP20" s="143">
        <v>1</v>
      </c>
      <c r="HQ20" s="143">
        <v>3</v>
      </c>
      <c r="HR20" s="143">
        <v>1</v>
      </c>
      <c r="HS20" s="144">
        <v>0.52631578947368418</v>
      </c>
      <c r="HT20" s="144">
        <v>0.33333333333333331</v>
      </c>
      <c r="HU20" s="144">
        <v>0.66666666666666663</v>
      </c>
      <c r="HV20" s="144">
        <v>0</v>
      </c>
      <c r="HW20" s="145">
        <v>18.899999999999999</v>
      </c>
      <c r="HX20" s="128" t="s">
        <v>74</v>
      </c>
      <c r="HY20" s="143">
        <v>8</v>
      </c>
      <c r="HZ20" s="143">
        <v>14</v>
      </c>
      <c r="IA20" s="143">
        <v>1</v>
      </c>
      <c r="IB20" s="143">
        <v>6</v>
      </c>
      <c r="IC20" s="143">
        <v>9</v>
      </c>
      <c r="ID20" s="143">
        <v>20</v>
      </c>
      <c r="IE20" s="143">
        <v>0</v>
      </c>
      <c r="IF20" s="143">
        <v>0</v>
      </c>
      <c r="IG20" s="143">
        <v>19</v>
      </c>
      <c r="IH20" s="143">
        <v>6</v>
      </c>
      <c r="II20" s="143">
        <v>2</v>
      </c>
      <c r="IJ20" s="143">
        <v>0</v>
      </c>
      <c r="IK20" s="143">
        <v>0</v>
      </c>
      <c r="IL20" s="143">
        <v>1</v>
      </c>
      <c r="IM20" s="143">
        <v>1</v>
      </c>
      <c r="IN20" s="144">
        <v>0.45</v>
      </c>
      <c r="IO20" s="144">
        <v>0</v>
      </c>
      <c r="IP20" s="144">
        <v>0.5714285714285714</v>
      </c>
      <c r="IQ20" s="144">
        <v>0.16666666666666666</v>
      </c>
      <c r="IR20" s="145">
        <v>11.600000000000001</v>
      </c>
      <c r="IS20" s="128" t="s">
        <v>74</v>
      </c>
      <c r="IT20" s="143">
        <v>11</v>
      </c>
      <c r="IU20" s="143">
        <v>18</v>
      </c>
      <c r="IV20" s="143">
        <v>1</v>
      </c>
      <c r="IW20" s="143">
        <v>5</v>
      </c>
      <c r="IX20" s="143">
        <v>12</v>
      </c>
      <c r="IY20" s="143">
        <v>23</v>
      </c>
      <c r="IZ20" s="143">
        <v>0</v>
      </c>
      <c r="JA20" s="143">
        <v>1</v>
      </c>
      <c r="JB20" s="143">
        <v>25</v>
      </c>
      <c r="JC20" s="143">
        <v>18</v>
      </c>
      <c r="JD20" s="143">
        <v>5</v>
      </c>
      <c r="JE20" s="143">
        <v>0</v>
      </c>
      <c r="JF20" s="143">
        <v>1</v>
      </c>
      <c r="JG20" s="143">
        <v>2</v>
      </c>
      <c r="JH20" s="143">
        <v>2</v>
      </c>
      <c r="JI20" s="144">
        <v>0.52173913043478259</v>
      </c>
      <c r="JJ20" s="144">
        <v>0</v>
      </c>
      <c r="JK20" s="144">
        <v>0.61111111111111116</v>
      </c>
      <c r="JL20" s="144">
        <v>0.2</v>
      </c>
      <c r="JM20" s="145">
        <v>24.000000000000004</v>
      </c>
      <c r="JN20" s="128" t="s">
        <v>74</v>
      </c>
      <c r="JO20" s="143">
        <v>0</v>
      </c>
      <c r="JP20" s="143">
        <v>4</v>
      </c>
      <c r="JQ20" s="143">
        <v>3</v>
      </c>
      <c r="JR20" s="143">
        <v>7</v>
      </c>
      <c r="JS20" s="143">
        <v>3</v>
      </c>
      <c r="JT20" s="143">
        <v>11</v>
      </c>
      <c r="JU20" s="143">
        <v>0</v>
      </c>
      <c r="JV20" s="143">
        <v>6</v>
      </c>
      <c r="JW20" s="143">
        <v>9</v>
      </c>
      <c r="JX20" s="143">
        <v>6</v>
      </c>
      <c r="JY20" s="143">
        <v>7</v>
      </c>
      <c r="JZ20" s="143">
        <v>0</v>
      </c>
      <c r="KA20" s="143">
        <v>2</v>
      </c>
      <c r="KB20" s="143">
        <v>5</v>
      </c>
      <c r="KC20" s="143">
        <v>1</v>
      </c>
      <c r="KD20" s="144">
        <v>0.27272727272727271</v>
      </c>
      <c r="KE20" s="144">
        <v>0.66666666666666663</v>
      </c>
      <c r="KF20" s="144">
        <v>0</v>
      </c>
      <c r="KG20" s="144">
        <v>0.42857142857142855</v>
      </c>
      <c r="KH20" s="145">
        <v>4.5999999999999996</v>
      </c>
      <c r="KI20" s="170"/>
      <c r="KK20" s="144"/>
      <c r="KL20" s="144"/>
      <c r="KM20" s="144"/>
      <c r="KN20" s="144"/>
      <c r="KO20" s="145"/>
      <c r="KP20" s="171"/>
      <c r="LE20" s="144"/>
      <c r="LF20" s="144"/>
      <c r="LG20" s="144"/>
      <c r="LH20" s="144"/>
      <c r="LI20" s="145"/>
    </row>
    <row r="21" spans="1:321" s="146" customFormat="1" ht="45" customHeight="1" x14ac:dyDescent="0.2">
      <c r="A21" s="128" t="s">
        <v>75</v>
      </c>
      <c r="B21" s="146">
        <v>5</v>
      </c>
      <c r="C21" s="146">
        <v>10</v>
      </c>
      <c r="D21" s="146">
        <v>0</v>
      </c>
      <c r="E21" s="146">
        <v>3</v>
      </c>
      <c r="F21" s="146">
        <v>5</v>
      </c>
      <c r="G21" s="146">
        <v>13</v>
      </c>
      <c r="H21" s="146">
        <v>0</v>
      </c>
      <c r="I21" s="146">
        <v>0</v>
      </c>
      <c r="J21" s="146">
        <v>10</v>
      </c>
      <c r="K21" s="146">
        <v>5</v>
      </c>
      <c r="L21" s="146">
        <v>2</v>
      </c>
      <c r="M21" s="146">
        <v>0</v>
      </c>
      <c r="N21" s="146">
        <v>3</v>
      </c>
      <c r="O21" s="146">
        <v>1</v>
      </c>
      <c r="P21" s="146">
        <v>4</v>
      </c>
      <c r="Q21" s="147">
        <v>0.38461538461538464</v>
      </c>
      <c r="R21" s="147">
        <v>0</v>
      </c>
      <c r="S21" s="147">
        <v>0.5</v>
      </c>
      <c r="T21" s="147">
        <v>0</v>
      </c>
      <c r="U21" s="148">
        <v>7.2000000000000011</v>
      </c>
      <c r="V21" s="128" t="s">
        <v>75</v>
      </c>
      <c r="W21" s="146">
        <v>5</v>
      </c>
      <c r="X21" s="146">
        <v>8</v>
      </c>
      <c r="Y21" s="146">
        <v>2</v>
      </c>
      <c r="Z21" s="146">
        <v>5</v>
      </c>
      <c r="AA21" s="146">
        <v>7</v>
      </c>
      <c r="AB21" s="146">
        <v>13</v>
      </c>
      <c r="AC21" s="146">
        <v>0</v>
      </c>
      <c r="AD21" s="146">
        <v>0</v>
      </c>
      <c r="AE21" s="146">
        <v>16</v>
      </c>
      <c r="AF21" s="146">
        <v>5</v>
      </c>
      <c r="AG21" s="146">
        <v>1</v>
      </c>
      <c r="AH21" s="146">
        <v>0</v>
      </c>
      <c r="AI21" s="146">
        <v>0</v>
      </c>
      <c r="AJ21" s="146">
        <v>3</v>
      </c>
      <c r="AK21" s="146">
        <v>0</v>
      </c>
      <c r="AL21" s="147">
        <v>0.53846153846153844</v>
      </c>
      <c r="AM21" s="147">
        <v>0</v>
      </c>
      <c r="AN21" s="147">
        <v>0.625</v>
      </c>
      <c r="AO21" s="147">
        <v>0.4</v>
      </c>
      <c r="AP21" s="148">
        <v>9.9</v>
      </c>
      <c r="AQ21" s="128" t="s">
        <v>75</v>
      </c>
      <c r="AR21" s="146">
        <v>2</v>
      </c>
      <c r="AS21" s="146">
        <v>3</v>
      </c>
      <c r="AT21" s="146">
        <v>3</v>
      </c>
      <c r="AU21" s="146">
        <v>6</v>
      </c>
      <c r="AV21" s="146">
        <v>5</v>
      </c>
      <c r="AW21" s="146">
        <v>9</v>
      </c>
      <c r="AX21" s="146">
        <v>0</v>
      </c>
      <c r="AY21" s="146">
        <v>2</v>
      </c>
      <c r="AZ21" s="146">
        <v>13</v>
      </c>
      <c r="BA21" s="146">
        <v>2</v>
      </c>
      <c r="BB21" s="146">
        <v>1</v>
      </c>
      <c r="BC21" s="146">
        <v>0</v>
      </c>
      <c r="BD21" s="146">
        <v>2</v>
      </c>
      <c r="BE21" s="146">
        <v>3</v>
      </c>
      <c r="BF21" s="146">
        <v>4</v>
      </c>
      <c r="BG21" s="147">
        <v>0.55555555555555558</v>
      </c>
      <c r="BH21" s="147">
        <v>0</v>
      </c>
      <c r="BI21" s="147">
        <v>0.66666666666666663</v>
      </c>
      <c r="BJ21" s="147">
        <v>0.5</v>
      </c>
      <c r="BK21" s="148">
        <v>6.9999999999999982</v>
      </c>
      <c r="BL21" s="128" t="s">
        <v>75</v>
      </c>
      <c r="BM21" s="146">
        <v>3</v>
      </c>
      <c r="BN21" s="146">
        <v>7</v>
      </c>
      <c r="BO21" s="146">
        <v>1</v>
      </c>
      <c r="BP21" s="146">
        <v>4</v>
      </c>
      <c r="BQ21" s="146">
        <v>4</v>
      </c>
      <c r="BR21" s="146">
        <v>11</v>
      </c>
      <c r="BS21" s="146">
        <v>1</v>
      </c>
      <c r="BT21" s="146">
        <v>3</v>
      </c>
      <c r="BU21" s="146">
        <v>10</v>
      </c>
      <c r="BV21" s="146">
        <v>7</v>
      </c>
      <c r="BW21" s="146">
        <v>1</v>
      </c>
      <c r="BX21" s="146">
        <v>0</v>
      </c>
      <c r="BY21" s="146">
        <v>1</v>
      </c>
      <c r="BZ21" s="146">
        <v>3</v>
      </c>
      <c r="CA21" s="146">
        <v>1</v>
      </c>
      <c r="CB21" s="147">
        <v>0.36363636363636365</v>
      </c>
      <c r="CC21" s="147">
        <v>0.33333333333333331</v>
      </c>
      <c r="CD21" s="147">
        <v>0.42857142857142855</v>
      </c>
      <c r="CE21" s="147">
        <v>0.25</v>
      </c>
      <c r="CF21" s="148">
        <v>4.9000000000000004</v>
      </c>
      <c r="CG21" s="128" t="s">
        <v>75</v>
      </c>
      <c r="CH21" s="146">
        <v>3</v>
      </c>
      <c r="CI21" s="146">
        <v>6</v>
      </c>
      <c r="CJ21" s="146">
        <v>5</v>
      </c>
      <c r="CK21" s="146">
        <v>13</v>
      </c>
      <c r="CL21" s="146">
        <v>8</v>
      </c>
      <c r="CM21" s="146">
        <v>19</v>
      </c>
      <c r="CN21" s="146">
        <v>0</v>
      </c>
      <c r="CO21" s="146">
        <v>0</v>
      </c>
      <c r="CP21" s="146">
        <v>21</v>
      </c>
      <c r="CQ21" s="146">
        <v>5</v>
      </c>
      <c r="CR21" s="146">
        <v>4</v>
      </c>
      <c r="CS21" s="146">
        <v>1</v>
      </c>
      <c r="CT21" s="146">
        <v>2</v>
      </c>
      <c r="CU21" s="146">
        <v>1</v>
      </c>
      <c r="CV21" s="146">
        <v>0</v>
      </c>
      <c r="CW21" s="147">
        <v>0.42105263157894735</v>
      </c>
      <c r="CX21" s="147">
        <v>0</v>
      </c>
      <c r="CY21" s="147">
        <v>0.5</v>
      </c>
      <c r="CZ21" s="147">
        <v>0.38461538461538464</v>
      </c>
      <c r="DA21" s="148">
        <v>17.899999999999999</v>
      </c>
      <c r="DB21" s="128" t="s">
        <v>75</v>
      </c>
      <c r="DC21" s="146">
        <v>4</v>
      </c>
      <c r="DD21" s="146">
        <v>9</v>
      </c>
      <c r="DE21" s="146">
        <v>0</v>
      </c>
      <c r="DF21" s="146">
        <v>4</v>
      </c>
      <c r="DG21" s="146">
        <v>4</v>
      </c>
      <c r="DH21" s="146">
        <v>13</v>
      </c>
      <c r="DI21" s="146">
        <v>0</v>
      </c>
      <c r="DJ21" s="146">
        <v>0</v>
      </c>
      <c r="DK21" s="146">
        <v>8</v>
      </c>
      <c r="DL21" s="146">
        <v>9</v>
      </c>
      <c r="DM21" s="146">
        <v>1</v>
      </c>
      <c r="DN21" s="146">
        <v>0</v>
      </c>
      <c r="DO21" s="146">
        <v>3</v>
      </c>
      <c r="DP21" s="146">
        <v>3</v>
      </c>
      <c r="DQ21" s="146">
        <v>3</v>
      </c>
      <c r="DR21" s="147">
        <v>0.30769230769230771</v>
      </c>
      <c r="DS21" s="147">
        <v>0</v>
      </c>
      <c r="DT21" s="147">
        <v>0.44444444444444442</v>
      </c>
      <c r="DU21" s="147">
        <v>0</v>
      </c>
      <c r="DV21" s="148">
        <v>4.4999999999999991</v>
      </c>
      <c r="DW21" s="128" t="s">
        <v>75</v>
      </c>
      <c r="DX21" s="146">
        <v>4</v>
      </c>
      <c r="DY21" s="146">
        <v>8</v>
      </c>
      <c r="DZ21" s="146">
        <v>1</v>
      </c>
      <c r="EA21" s="146">
        <v>5</v>
      </c>
      <c r="EB21" s="146">
        <v>5</v>
      </c>
      <c r="EC21" s="146">
        <v>13</v>
      </c>
      <c r="ED21" s="146">
        <v>0</v>
      </c>
      <c r="EE21" s="146">
        <v>2</v>
      </c>
      <c r="EF21" s="146">
        <v>11</v>
      </c>
      <c r="EG21" s="146">
        <v>3</v>
      </c>
      <c r="EH21" s="146">
        <v>0</v>
      </c>
      <c r="EI21" s="146">
        <v>0</v>
      </c>
      <c r="EJ21" s="146">
        <v>0</v>
      </c>
      <c r="EK21" s="146">
        <v>2</v>
      </c>
      <c r="EL21" s="146">
        <v>2</v>
      </c>
      <c r="EM21" s="147">
        <v>0.38461538461538464</v>
      </c>
      <c r="EN21" s="147">
        <v>0</v>
      </c>
      <c r="EO21" s="147">
        <v>0.5</v>
      </c>
      <c r="EP21" s="147">
        <v>0.2</v>
      </c>
      <c r="EQ21" s="148">
        <v>1.8000000000000007</v>
      </c>
      <c r="ER21" s="128" t="s">
        <v>75</v>
      </c>
      <c r="ES21" s="146">
        <v>2</v>
      </c>
      <c r="ET21" s="146">
        <v>5</v>
      </c>
      <c r="EU21" s="146">
        <v>5</v>
      </c>
      <c r="EV21" s="146">
        <v>8</v>
      </c>
      <c r="EW21" s="146">
        <v>7</v>
      </c>
      <c r="EX21" s="146">
        <v>13</v>
      </c>
      <c r="EY21" s="146">
        <v>2</v>
      </c>
      <c r="EZ21" s="146">
        <v>2</v>
      </c>
      <c r="FA21" s="146">
        <v>21</v>
      </c>
      <c r="FB21" s="146">
        <v>3</v>
      </c>
      <c r="FC21" s="146">
        <v>3</v>
      </c>
      <c r="FD21" s="146">
        <v>0</v>
      </c>
      <c r="FE21" s="146">
        <v>4</v>
      </c>
      <c r="FF21" s="146">
        <v>0</v>
      </c>
      <c r="FG21" s="146">
        <v>2</v>
      </c>
      <c r="FH21" s="147">
        <v>0.53846153846153844</v>
      </c>
      <c r="FI21" s="147">
        <v>1</v>
      </c>
      <c r="FJ21" s="147">
        <v>0.4</v>
      </c>
      <c r="FK21" s="147">
        <v>0.625</v>
      </c>
      <c r="FL21" s="148">
        <v>21.500000000000004</v>
      </c>
      <c r="FM21" s="128" t="s">
        <v>75</v>
      </c>
      <c r="FN21" s="146">
        <v>3</v>
      </c>
      <c r="FO21" s="146">
        <v>12</v>
      </c>
      <c r="FP21" s="146">
        <v>2</v>
      </c>
      <c r="FQ21" s="146">
        <v>5</v>
      </c>
      <c r="FR21" s="146">
        <v>5</v>
      </c>
      <c r="FS21" s="146">
        <v>17</v>
      </c>
      <c r="FT21" s="146">
        <v>2</v>
      </c>
      <c r="FU21" s="146">
        <v>3</v>
      </c>
      <c r="FV21" s="146">
        <v>14</v>
      </c>
      <c r="FW21" s="146">
        <v>9</v>
      </c>
      <c r="FX21" s="146">
        <v>4</v>
      </c>
      <c r="FY21" s="146">
        <v>1</v>
      </c>
      <c r="FZ21" s="146">
        <v>3</v>
      </c>
      <c r="GA21" s="146">
        <v>2</v>
      </c>
      <c r="GB21" s="146">
        <v>0</v>
      </c>
      <c r="GC21" s="147">
        <v>0.29411764705882354</v>
      </c>
      <c r="GD21" s="147">
        <v>0.66666666666666663</v>
      </c>
      <c r="GE21" s="147">
        <v>0.25</v>
      </c>
      <c r="GF21" s="147">
        <v>0.4</v>
      </c>
      <c r="GG21" s="148">
        <v>12.7</v>
      </c>
      <c r="GH21" s="128" t="s">
        <v>75</v>
      </c>
      <c r="GI21" s="146">
        <v>14</v>
      </c>
      <c r="GJ21" s="146">
        <v>23</v>
      </c>
      <c r="GK21" s="146">
        <v>3</v>
      </c>
      <c r="GL21" s="146">
        <v>12</v>
      </c>
      <c r="GM21" s="146">
        <v>17</v>
      </c>
      <c r="GN21" s="146">
        <v>35</v>
      </c>
      <c r="GO21" s="146">
        <v>0</v>
      </c>
      <c r="GP21" s="146">
        <v>0</v>
      </c>
      <c r="GQ21" s="146">
        <v>37</v>
      </c>
      <c r="GR21" s="146">
        <v>14</v>
      </c>
      <c r="GS21" s="146">
        <v>5</v>
      </c>
      <c r="GT21" s="146">
        <v>1</v>
      </c>
      <c r="GU21" s="146">
        <v>3</v>
      </c>
      <c r="GV21" s="146">
        <v>0</v>
      </c>
      <c r="GW21" s="146">
        <v>2</v>
      </c>
      <c r="GX21" s="147">
        <v>0.48571428571428571</v>
      </c>
      <c r="GY21" s="147">
        <v>0</v>
      </c>
      <c r="GZ21" s="147">
        <v>0.60869565217391308</v>
      </c>
      <c r="HA21" s="147">
        <v>0.25</v>
      </c>
      <c r="HB21" s="148">
        <v>32.700000000000003</v>
      </c>
      <c r="HC21" s="128" t="s">
        <v>75</v>
      </c>
      <c r="HD21" s="146">
        <v>6</v>
      </c>
      <c r="HE21" s="146">
        <v>8</v>
      </c>
      <c r="HF21" s="146">
        <v>4</v>
      </c>
      <c r="HG21" s="146">
        <v>10</v>
      </c>
      <c r="HH21" s="146">
        <v>10</v>
      </c>
      <c r="HI21" s="146">
        <v>18</v>
      </c>
      <c r="HJ21" s="146">
        <v>0</v>
      </c>
      <c r="HK21" s="146">
        <v>0</v>
      </c>
      <c r="HL21" s="146">
        <v>24</v>
      </c>
      <c r="HM21" s="146">
        <v>12</v>
      </c>
      <c r="HN21" s="146">
        <v>2</v>
      </c>
      <c r="HO21" s="146">
        <v>0</v>
      </c>
      <c r="HP21" s="146">
        <v>0</v>
      </c>
      <c r="HQ21" s="146">
        <v>2</v>
      </c>
      <c r="HR21" s="146">
        <v>1</v>
      </c>
      <c r="HS21" s="147">
        <v>0.55555555555555558</v>
      </c>
      <c r="HT21" s="147">
        <v>0</v>
      </c>
      <c r="HU21" s="147">
        <v>0.75</v>
      </c>
      <c r="HV21" s="147">
        <v>0.4</v>
      </c>
      <c r="HW21" s="148">
        <v>20.399999999999999</v>
      </c>
      <c r="HX21" s="128" t="s">
        <v>75</v>
      </c>
      <c r="HY21" s="146">
        <v>4</v>
      </c>
      <c r="HZ21" s="146">
        <v>11</v>
      </c>
      <c r="IA21" s="146">
        <v>0</v>
      </c>
      <c r="IB21" s="146">
        <v>5</v>
      </c>
      <c r="IC21" s="146">
        <v>4</v>
      </c>
      <c r="ID21" s="146">
        <v>16</v>
      </c>
      <c r="IE21" s="146">
        <v>3</v>
      </c>
      <c r="IF21" s="146">
        <v>4</v>
      </c>
      <c r="IG21" s="146">
        <v>11</v>
      </c>
      <c r="IH21" s="146">
        <v>5</v>
      </c>
      <c r="II21" s="146">
        <v>4</v>
      </c>
      <c r="IJ21" s="146">
        <v>1</v>
      </c>
      <c r="IK21" s="146">
        <v>1</v>
      </c>
      <c r="IL21" s="146">
        <v>3</v>
      </c>
      <c r="IM21" s="146">
        <v>1</v>
      </c>
      <c r="IN21" s="147">
        <v>0.25</v>
      </c>
      <c r="IO21" s="147">
        <v>0.75</v>
      </c>
      <c r="IP21" s="147">
        <v>0.36363636363636365</v>
      </c>
      <c r="IQ21" s="147">
        <v>0</v>
      </c>
      <c r="IR21" s="148">
        <v>4.5999999999999996</v>
      </c>
      <c r="IS21" s="128" t="s">
        <v>75</v>
      </c>
      <c r="IT21" s="146">
        <v>5</v>
      </c>
      <c r="IU21" s="146">
        <v>13</v>
      </c>
      <c r="IV21" s="146">
        <v>1</v>
      </c>
      <c r="IW21" s="146">
        <v>5</v>
      </c>
      <c r="IX21" s="146">
        <v>6</v>
      </c>
      <c r="IY21" s="146">
        <v>18</v>
      </c>
      <c r="IZ21" s="146">
        <v>0</v>
      </c>
      <c r="JA21" s="146">
        <v>0</v>
      </c>
      <c r="JB21" s="146">
        <v>13</v>
      </c>
      <c r="JC21" s="146">
        <v>5</v>
      </c>
      <c r="JD21" s="146">
        <v>3</v>
      </c>
      <c r="JE21" s="146">
        <v>1</v>
      </c>
      <c r="JF21" s="146">
        <v>0</v>
      </c>
      <c r="JG21" s="146">
        <v>3</v>
      </c>
      <c r="JH21" s="146">
        <v>1</v>
      </c>
      <c r="JI21" s="147">
        <v>0.33333333333333331</v>
      </c>
      <c r="JJ21" s="147">
        <v>0</v>
      </c>
      <c r="JK21" s="147">
        <v>0.38461538461538464</v>
      </c>
      <c r="JL21" s="147">
        <v>0.2</v>
      </c>
      <c r="JM21" s="148">
        <v>4.6999999999999993</v>
      </c>
      <c r="JN21" s="128" t="s">
        <v>75</v>
      </c>
      <c r="JO21" s="146">
        <v>1</v>
      </c>
      <c r="JP21" s="146">
        <v>7</v>
      </c>
      <c r="JQ21" s="146">
        <v>3</v>
      </c>
      <c r="JR21" s="146">
        <v>6</v>
      </c>
      <c r="JS21" s="146">
        <v>4</v>
      </c>
      <c r="JT21" s="146">
        <v>13</v>
      </c>
      <c r="JU21" s="146">
        <v>0</v>
      </c>
      <c r="JV21" s="146">
        <v>2</v>
      </c>
      <c r="JW21" s="146">
        <v>11</v>
      </c>
      <c r="JX21" s="146">
        <v>4</v>
      </c>
      <c r="JY21" s="146">
        <v>1</v>
      </c>
      <c r="JZ21" s="146">
        <v>0</v>
      </c>
      <c r="KA21" s="146">
        <v>1</v>
      </c>
      <c r="KB21" s="146">
        <v>1</v>
      </c>
      <c r="KC21" s="146">
        <v>5</v>
      </c>
      <c r="KD21" s="147">
        <v>0.30769230769230771</v>
      </c>
      <c r="KE21" s="147">
        <v>0.18181818181818182</v>
      </c>
      <c r="KF21" s="147">
        <v>0.14285714285714285</v>
      </c>
      <c r="KG21" s="147">
        <v>0.5</v>
      </c>
      <c r="KH21" s="148">
        <v>3.4000000000000004</v>
      </c>
      <c r="KI21" s="170"/>
      <c r="KK21" s="147"/>
      <c r="KL21" s="147"/>
      <c r="KM21" s="147"/>
      <c r="KN21" s="147"/>
      <c r="KO21" s="148"/>
      <c r="KP21" s="171"/>
      <c r="LE21" s="147"/>
      <c r="LF21" s="147"/>
      <c r="LG21" s="147"/>
      <c r="LH21" s="147"/>
      <c r="LI21" s="148"/>
    </row>
    <row r="22" spans="1:321" s="149" customFormat="1" ht="45" customHeight="1" x14ac:dyDescent="0.2">
      <c r="A22" s="128" t="s">
        <v>76</v>
      </c>
      <c r="B22" s="149">
        <v>3</v>
      </c>
      <c r="C22" s="149">
        <v>8</v>
      </c>
      <c r="D22" s="149">
        <v>0</v>
      </c>
      <c r="E22" s="149">
        <v>2</v>
      </c>
      <c r="F22" s="149">
        <v>3</v>
      </c>
      <c r="G22" s="149">
        <v>10</v>
      </c>
      <c r="H22" s="149">
        <v>2</v>
      </c>
      <c r="I22" s="149">
        <v>4</v>
      </c>
      <c r="J22" s="149">
        <v>8</v>
      </c>
      <c r="K22" s="149">
        <v>2</v>
      </c>
      <c r="L22" s="149">
        <v>2</v>
      </c>
      <c r="M22" s="149">
        <v>0</v>
      </c>
      <c r="N22" s="149">
        <v>2</v>
      </c>
      <c r="O22" s="149">
        <v>1</v>
      </c>
      <c r="P22" s="149">
        <v>2</v>
      </c>
      <c r="Q22" s="150">
        <v>0.3</v>
      </c>
      <c r="R22" s="150">
        <v>0.5</v>
      </c>
      <c r="S22" s="150">
        <v>0.375</v>
      </c>
      <c r="T22" s="150">
        <v>0</v>
      </c>
      <c r="U22" s="151">
        <v>3.9999999999999991</v>
      </c>
      <c r="V22" s="128" t="s">
        <v>76</v>
      </c>
      <c r="W22" s="149">
        <v>2</v>
      </c>
      <c r="X22" s="149">
        <v>6</v>
      </c>
      <c r="Y22" s="149">
        <v>1</v>
      </c>
      <c r="Z22" s="149">
        <v>5</v>
      </c>
      <c r="AA22" s="149">
        <v>3</v>
      </c>
      <c r="AB22" s="149">
        <v>11</v>
      </c>
      <c r="AC22" s="149">
        <v>1</v>
      </c>
      <c r="AD22" s="149">
        <v>1</v>
      </c>
      <c r="AE22" s="149">
        <v>8</v>
      </c>
      <c r="AF22" s="149">
        <v>1</v>
      </c>
      <c r="AG22" s="149">
        <v>4</v>
      </c>
      <c r="AH22" s="149">
        <v>0</v>
      </c>
      <c r="AI22" s="149">
        <v>0</v>
      </c>
      <c r="AJ22" s="149">
        <v>2</v>
      </c>
      <c r="AK22" s="149">
        <v>2</v>
      </c>
      <c r="AL22" s="150">
        <v>0.27272727272727271</v>
      </c>
      <c r="AM22" s="150">
        <v>1</v>
      </c>
      <c r="AN22" s="150">
        <v>0.33333333333333331</v>
      </c>
      <c r="AO22" s="150">
        <v>0.2</v>
      </c>
      <c r="AP22" s="151">
        <v>2</v>
      </c>
      <c r="AQ22" s="128" t="s">
        <v>76</v>
      </c>
      <c r="AR22" s="149">
        <v>1</v>
      </c>
      <c r="AS22" s="149">
        <v>5</v>
      </c>
      <c r="AT22" s="149">
        <v>0</v>
      </c>
      <c r="AU22" s="149">
        <v>4</v>
      </c>
      <c r="AV22" s="149">
        <v>1</v>
      </c>
      <c r="AW22" s="149">
        <v>9</v>
      </c>
      <c r="AX22" s="149">
        <v>2</v>
      </c>
      <c r="AY22" s="149">
        <v>6</v>
      </c>
      <c r="AZ22" s="149">
        <v>4</v>
      </c>
      <c r="BA22" s="149">
        <v>3</v>
      </c>
      <c r="BB22" s="149">
        <v>3</v>
      </c>
      <c r="BC22" s="149">
        <v>0</v>
      </c>
      <c r="BD22" s="149">
        <v>4</v>
      </c>
      <c r="BE22" s="149">
        <v>1</v>
      </c>
      <c r="BF22" s="149">
        <v>4</v>
      </c>
      <c r="BG22" s="150">
        <v>0.1111111111111111</v>
      </c>
      <c r="BH22" s="150">
        <v>0.33333333333333331</v>
      </c>
      <c r="BI22" s="150">
        <v>0.2</v>
      </c>
      <c r="BJ22" s="150">
        <v>0</v>
      </c>
      <c r="BK22" s="151">
        <v>1.4999999999999996</v>
      </c>
      <c r="BL22" s="128" t="s">
        <v>76</v>
      </c>
      <c r="BM22" s="149">
        <v>2</v>
      </c>
      <c r="BN22" s="149">
        <v>5</v>
      </c>
      <c r="BO22" s="149">
        <v>0</v>
      </c>
      <c r="BP22" s="149">
        <v>4</v>
      </c>
      <c r="BQ22" s="149">
        <v>2</v>
      </c>
      <c r="BR22" s="149">
        <v>9</v>
      </c>
      <c r="BS22" s="149">
        <v>0</v>
      </c>
      <c r="BT22" s="149">
        <v>0</v>
      </c>
      <c r="BU22" s="149">
        <v>4</v>
      </c>
      <c r="BV22" s="149">
        <v>3</v>
      </c>
      <c r="BW22" s="149">
        <v>1</v>
      </c>
      <c r="BX22" s="149">
        <v>0</v>
      </c>
      <c r="BY22" s="149">
        <v>4</v>
      </c>
      <c r="BZ22" s="149">
        <v>4</v>
      </c>
      <c r="CA22" s="149">
        <v>1</v>
      </c>
      <c r="CB22" s="150">
        <v>0.22222222222222221</v>
      </c>
      <c r="CC22" s="150">
        <v>0</v>
      </c>
      <c r="CD22" s="150">
        <v>0.4</v>
      </c>
      <c r="CE22" s="150">
        <v>0</v>
      </c>
      <c r="CF22" s="151">
        <v>0.29999999999999982</v>
      </c>
      <c r="CG22" s="128" t="s">
        <v>76</v>
      </c>
      <c r="CH22" s="149">
        <v>9</v>
      </c>
      <c r="CI22" s="149">
        <v>14</v>
      </c>
      <c r="CJ22" s="149">
        <v>0</v>
      </c>
      <c r="CK22" s="149">
        <v>4</v>
      </c>
      <c r="CL22" s="149">
        <v>9</v>
      </c>
      <c r="CM22" s="149">
        <v>18</v>
      </c>
      <c r="CN22" s="149">
        <v>2</v>
      </c>
      <c r="CO22" s="149">
        <v>2</v>
      </c>
      <c r="CP22" s="149">
        <v>20</v>
      </c>
      <c r="CQ22" s="149">
        <v>3</v>
      </c>
      <c r="CR22" s="149">
        <v>3</v>
      </c>
      <c r="CS22" s="149">
        <v>0</v>
      </c>
      <c r="CT22" s="149">
        <v>5</v>
      </c>
      <c r="CU22" s="149">
        <v>4</v>
      </c>
      <c r="CV22" s="149">
        <v>2</v>
      </c>
      <c r="CW22" s="150">
        <v>0.5</v>
      </c>
      <c r="CX22" s="150">
        <v>1</v>
      </c>
      <c r="CY22" s="150">
        <v>0.6428571428571429</v>
      </c>
      <c r="CZ22" s="150">
        <v>0</v>
      </c>
      <c r="DA22" s="151">
        <v>14.8</v>
      </c>
      <c r="DB22" s="128" t="s">
        <v>76</v>
      </c>
      <c r="DC22" s="149">
        <v>2</v>
      </c>
      <c r="DD22" s="149">
        <v>6</v>
      </c>
      <c r="DE22" s="149">
        <v>0</v>
      </c>
      <c r="DF22" s="149">
        <v>2</v>
      </c>
      <c r="DG22" s="149">
        <v>2</v>
      </c>
      <c r="DH22" s="149">
        <v>8</v>
      </c>
      <c r="DI22" s="149">
        <v>4</v>
      </c>
      <c r="DJ22" s="149">
        <v>6</v>
      </c>
      <c r="DK22" s="149">
        <v>8</v>
      </c>
      <c r="DL22" s="149">
        <v>2</v>
      </c>
      <c r="DM22" s="149">
        <v>1</v>
      </c>
      <c r="DN22" s="149">
        <v>0</v>
      </c>
      <c r="DO22" s="149">
        <v>0</v>
      </c>
      <c r="DP22" s="149">
        <v>0</v>
      </c>
      <c r="DQ22" s="149">
        <v>1</v>
      </c>
      <c r="DR22" s="150">
        <v>0.25</v>
      </c>
      <c r="DS22" s="150">
        <v>0.66666666666666663</v>
      </c>
      <c r="DT22" s="150">
        <v>0.33333333333333331</v>
      </c>
      <c r="DU22" s="150">
        <v>0</v>
      </c>
      <c r="DV22" s="151">
        <v>3.7000000000000015</v>
      </c>
      <c r="DW22" s="128" t="s">
        <v>76</v>
      </c>
      <c r="DX22" s="149">
        <v>0</v>
      </c>
      <c r="DY22" s="149">
        <v>0</v>
      </c>
      <c r="DZ22" s="149">
        <v>3</v>
      </c>
      <c r="EA22" s="149">
        <v>6</v>
      </c>
      <c r="EB22" s="149">
        <v>3</v>
      </c>
      <c r="EC22" s="149">
        <v>6</v>
      </c>
      <c r="ED22" s="149">
        <v>0</v>
      </c>
      <c r="EE22" s="149">
        <v>2</v>
      </c>
      <c r="EF22" s="149">
        <v>9</v>
      </c>
      <c r="EG22" s="149">
        <v>3</v>
      </c>
      <c r="EH22" s="149">
        <v>3</v>
      </c>
      <c r="EI22" s="149">
        <v>0</v>
      </c>
      <c r="EJ22" s="149">
        <v>0</v>
      </c>
      <c r="EK22" s="149">
        <v>0</v>
      </c>
      <c r="EL22" s="149">
        <v>3</v>
      </c>
      <c r="EM22" s="150">
        <v>0.5</v>
      </c>
      <c r="EN22" s="150">
        <v>0</v>
      </c>
      <c r="EO22" s="150">
        <v>0</v>
      </c>
      <c r="EP22" s="150">
        <v>0.5</v>
      </c>
      <c r="EQ22" s="151">
        <v>7.6000000000000005</v>
      </c>
      <c r="ER22" s="128" t="s">
        <v>76</v>
      </c>
      <c r="ES22" s="149">
        <v>2</v>
      </c>
      <c r="ET22" s="149">
        <v>2</v>
      </c>
      <c r="EU22" s="149">
        <v>1</v>
      </c>
      <c r="EV22" s="149">
        <v>6</v>
      </c>
      <c r="EW22" s="149">
        <v>3</v>
      </c>
      <c r="EX22" s="149">
        <v>8</v>
      </c>
      <c r="EY22" s="149">
        <v>0</v>
      </c>
      <c r="EZ22" s="149">
        <v>0</v>
      </c>
      <c r="FA22" s="149">
        <v>7</v>
      </c>
      <c r="FB22" s="149">
        <v>3</v>
      </c>
      <c r="FC22" s="149">
        <v>1</v>
      </c>
      <c r="FD22" s="149">
        <v>0</v>
      </c>
      <c r="FE22" s="149">
        <v>0</v>
      </c>
      <c r="FF22" s="149">
        <v>4</v>
      </c>
      <c r="FG22" s="149">
        <v>4</v>
      </c>
      <c r="FH22" s="150">
        <v>0.375</v>
      </c>
      <c r="FI22" s="150">
        <v>0</v>
      </c>
      <c r="FJ22" s="150">
        <v>1</v>
      </c>
      <c r="FK22" s="150">
        <v>0.16666666666666666</v>
      </c>
      <c r="FL22" s="151">
        <v>-0.80000000000000027</v>
      </c>
      <c r="FM22" s="128" t="s">
        <v>76</v>
      </c>
      <c r="FN22" s="149">
        <v>0</v>
      </c>
      <c r="FO22" s="149">
        <v>5</v>
      </c>
      <c r="FP22" s="149">
        <v>0</v>
      </c>
      <c r="FQ22" s="149">
        <v>3</v>
      </c>
      <c r="FR22" s="149">
        <v>0</v>
      </c>
      <c r="FS22" s="149">
        <v>8</v>
      </c>
      <c r="FT22" s="149">
        <v>0</v>
      </c>
      <c r="FU22" s="149">
        <v>0</v>
      </c>
      <c r="FV22" s="149">
        <v>0</v>
      </c>
      <c r="FW22" s="149">
        <v>2</v>
      </c>
      <c r="FX22" s="149">
        <v>4</v>
      </c>
      <c r="FY22" s="149">
        <v>0</v>
      </c>
      <c r="FZ22" s="149">
        <v>3</v>
      </c>
      <c r="GA22" s="149">
        <v>1</v>
      </c>
      <c r="GB22" s="149">
        <v>2</v>
      </c>
      <c r="GC22" s="150">
        <v>0</v>
      </c>
      <c r="GD22" s="150">
        <v>0</v>
      </c>
      <c r="GE22" s="150">
        <v>0</v>
      </c>
      <c r="GF22" s="150">
        <v>0</v>
      </c>
      <c r="GG22" s="151">
        <v>-0.59999999999999987</v>
      </c>
      <c r="GH22" s="128" t="s">
        <v>76</v>
      </c>
      <c r="GI22" s="149">
        <v>2</v>
      </c>
      <c r="GJ22" s="149">
        <v>4</v>
      </c>
      <c r="GK22" s="149">
        <v>0</v>
      </c>
      <c r="GL22" s="149">
        <v>5</v>
      </c>
      <c r="GM22" s="149">
        <v>2</v>
      </c>
      <c r="GN22" s="149">
        <v>9</v>
      </c>
      <c r="GO22" s="149">
        <v>0</v>
      </c>
      <c r="GP22" s="149">
        <v>0</v>
      </c>
      <c r="GQ22" s="149">
        <v>4</v>
      </c>
      <c r="GR22" s="149">
        <v>5</v>
      </c>
      <c r="GS22" s="149">
        <v>5</v>
      </c>
      <c r="GU22" s="149">
        <v>5</v>
      </c>
      <c r="GV22" s="149">
        <v>1</v>
      </c>
      <c r="GW22" s="149">
        <v>1</v>
      </c>
      <c r="GX22" s="150">
        <v>0.22222222222222221</v>
      </c>
      <c r="GY22" s="150">
        <v>0</v>
      </c>
      <c r="GZ22" s="150">
        <v>0.5</v>
      </c>
      <c r="HA22" s="150">
        <v>0</v>
      </c>
      <c r="HB22" s="151">
        <v>8.1</v>
      </c>
      <c r="HC22" s="128" t="s">
        <v>76</v>
      </c>
      <c r="HD22" s="149">
        <v>6</v>
      </c>
      <c r="HE22" s="149">
        <v>10</v>
      </c>
      <c r="HF22" s="149">
        <v>0</v>
      </c>
      <c r="HG22" s="149">
        <v>3</v>
      </c>
      <c r="HH22" s="149">
        <v>6</v>
      </c>
      <c r="HI22" s="149">
        <v>13</v>
      </c>
      <c r="HJ22" s="149">
        <v>0</v>
      </c>
      <c r="HK22" s="149">
        <v>4</v>
      </c>
      <c r="HL22" s="149">
        <v>12</v>
      </c>
      <c r="HM22" s="149">
        <v>5</v>
      </c>
      <c r="HN22" s="149">
        <v>7</v>
      </c>
      <c r="HO22" s="149">
        <v>0</v>
      </c>
      <c r="HP22" s="149">
        <v>0</v>
      </c>
      <c r="HQ22" s="149">
        <v>1</v>
      </c>
      <c r="HR22" s="149">
        <v>2</v>
      </c>
      <c r="HS22" s="150">
        <v>0.46153846153846156</v>
      </c>
      <c r="HT22" s="150">
        <v>0</v>
      </c>
      <c r="HU22" s="150">
        <v>0.6</v>
      </c>
      <c r="HV22" s="150">
        <v>0</v>
      </c>
      <c r="HW22" s="151">
        <v>9.3000000000000007</v>
      </c>
      <c r="HX22" s="128" t="s">
        <v>76</v>
      </c>
      <c r="HY22" s="149">
        <v>2</v>
      </c>
      <c r="HZ22" s="149">
        <v>5</v>
      </c>
      <c r="IA22" s="149">
        <v>1</v>
      </c>
      <c r="IB22" s="149">
        <v>5</v>
      </c>
      <c r="IC22" s="149">
        <v>3</v>
      </c>
      <c r="ID22" s="149">
        <v>10</v>
      </c>
      <c r="IE22" s="149">
        <v>0</v>
      </c>
      <c r="IF22" s="149">
        <v>0</v>
      </c>
      <c r="IG22" s="149">
        <v>7</v>
      </c>
      <c r="IH22" s="149">
        <v>1</v>
      </c>
      <c r="II22" s="149">
        <v>1</v>
      </c>
      <c r="IJ22" s="149">
        <v>0</v>
      </c>
      <c r="IK22" s="149">
        <v>1</v>
      </c>
      <c r="IL22" s="149">
        <v>1</v>
      </c>
      <c r="IM22" s="149">
        <v>1</v>
      </c>
      <c r="IN22" s="150">
        <v>0.3</v>
      </c>
      <c r="IO22" s="150">
        <v>0</v>
      </c>
      <c r="IP22" s="150">
        <v>0.4</v>
      </c>
      <c r="IQ22" s="150">
        <v>0.2</v>
      </c>
      <c r="IR22" s="151">
        <v>1.9999999999999996</v>
      </c>
      <c r="IS22" s="128" t="s">
        <v>76</v>
      </c>
      <c r="IT22" s="149">
        <v>2</v>
      </c>
      <c r="IU22" s="149">
        <v>4</v>
      </c>
      <c r="IV22" s="149">
        <v>1</v>
      </c>
      <c r="IW22" s="149">
        <v>3</v>
      </c>
      <c r="IX22" s="149">
        <v>3</v>
      </c>
      <c r="IY22" s="149">
        <v>7</v>
      </c>
      <c r="JA22" s="149">
        <v>2</v>
      </c>
      <c r="JB22" s="149">
        <v>7</v>
      </c>
      <c r="JC22" s="149">
        <v>4</v>
      </c>
      <c r="JD22" s="149">
        <v>7</v>
      </c>
      <c r="JE22" s="149">
        <v>0</v>
      </c>
      <c r="JF22" s="149">
        <v>3</v>
      </c>
      <c r="JG22" s="149">
        <v>1</v>
      </c>
      <c r="JH22" s="149">
        <v>4</v>
      </c>
      <c r="JI22" s="150">
        <v>0.42857142857142855</v>
      </c>
      <c r="JJ22" s="150">
        <v>0</v>
      </c>
      <c r="JK22" s="150">
        <v>0.5</v>
      </c>
      <c r="JL22" s="150">
        <v>0.33333333333333331</v>
      </c>
      <c r="JM22" s="151">
        <v>9.7999999999999989</v>
      </c>
      <c r="JN22" s="128" t="s">
        <v>76</v>
      </c>
      <c r="JO22" s="149">
        <v>0</v>
      </c>
      <c r="JP22" s="149">
        <v>1</v>
      </c>
      <c r="JQ22" s="149">
        <v>1</v>
      </c>
      <c r="JR22" s="149">
        <v>2</v>
      </c>
      <c r="JS22" s="149">
        <v>1</v>
      </c>
      <c r="JT22" s="149">
        <v>3</v>
      </c>
      <c r="JU22" s="149">
        <v>0</v>
      </c>
      <c r="JV22" s="149">
        <v>2</v>
      </c>
      <c r="JW22" s="149">
        <v>3</v>
      </c>
      <c r="JX22" s="149">
        <v>2</v>
      </c>
      <c r="JY22" s="149">
        <v>1</v>
      </c>
      <c r="JZ22" s="149">
        <v>0</v>
      </c>
      <c r="KA22" s="149">
        <v>3</v>
      </c>
      <c r="KB22" s="149">
        <v>2</v>
      </c>
      <c r="KC22" s="149">
        <v>0</v>
      </c>
      <c r="KD22" s="150">
        <v>0.33333333333333331</v>
      </c>
      <c r="KE22" s="150">
        <v>0.66666666666666663</v>
      </c>
      <c r="KF22" s="150">
        <v>0</v>
      </c>
      <c r="KG22" s="150">
        <v>0.5</v>
      </c>
      <c r="KH22" s="151">
        <v>3.2</v>
      </c>
      <c r="KI22" s="170"/>
      <c r="KK22" s="150"/>
      <c r="KL22" s="150"/>
      <c r="KM22" s="150"/>
      <c r="KN22" s="150"/>
      <c r="KO22" s="151"/>
      <c r="KP22" s="171"/>
      <c r="LE22" s="150"/>
      <c r="LF22" s="150"/>
      <c r="LG22" s="150"/>
      <c r="LH22" s="150"/>
      <c r="LI22" s="151"/>
    </row>
    <row r="23" spans="1:321" s="172" customFormat="1" ht="45" customHeight="1" x14ac:dyDescent="0.2">
      <c r="A23" s="128" t="s">
        <v>77</v>
      </c>
      <c r="B23" s="172">
        <v>3</v>
      </c>
      <c r="C23" s="172">
        <v>8</v>
      </c>
      <c r="D23" s="172">
        <v>0</v>
      </c>
      <c r="E23" s="172">
        <v>1</v>
      </c>
      <c r="F23" s="172">
        <v>3</v>
      </c>
      <c r="G23" s="172">
        <v>9</v>
      </c>
      <c r="H23" s="172">
        <v>0</v>
      </c>
      <c r="I23" s="172">
        <v>0</v>
      </c>
      <c r="J23" s="172">
        <v>6</v>
      </c>
      <c r="K23" s="172">
        <v>5</v>
      </c>
      <c r="L23" s="172">
        <v>4</v>
      </c>
      <c r="M23" s="172">
        <v>1</v>
      </c>
      <c r="N23" s="172">
        <v>3</v>
      </c>
      <c r="O23" s="172">
        <v>4</v>
      </c>
      <c r="P23" s="172">
        <v>3</v>
      </c>
      <c r="Q23" s="173">
        <v>0.33333333333333331</v>
      </c>
      <c r="R23" s="173">
        <v>0</v>
      </c>
      <c r="S23" s="173">
        <v>0.375</v>
      </c>
      <c r="T23" s="173">
        <v>0</v>
      </c>
      <c r="U23" s="174">
        <v>4.6999999999999993</v>
      </c>
      <c r="V23" s="128" t="s">
        <v>77</v>
      </c>
      <c r="W23" s="172">
        <v>4</v>
      </c>
      <c r="X23" s="172">
        <v>9</v>
      </c>
      <c r="Y23" s="172">
        <v>0</v>
      </c>
      <c r="Z23" s="172">
        <v>2</v>
      </c>
      <c r="AA23" s="172">
        <v>4</v>
      </c>
      <c r="AB23" s="172">
        <v>11</v>
      </c>
      <c r="AC23" s="172">
        <v>0</v>
      </c>
      <c r="AD23" s="172">
        <v>1</v>
      </c>
      <c r="AE23" s="172">
        <v>8</v>
      </c>
      <c r="AF23" s="172">
        <v>8</v>
      </c>
      <c r="AG23" s="172">
        <v>5</v>
      </c>
      <c r="AH23" s="172">
        <v>0</v>
      </c>
      <c r="AI23" s="172">
        <v>1</v>
      </c>
      <c r="AJ23" s="172">
        <v>1</v>
      </c>
      <c r="AK23" s="172">
        <v>3</v>
      </c>
      <c r="AL23" s="173">
        <v>0.36363636363636365</v>
      </c>
      <c r="AM23" s="173">
        <v>0</v>
      </c>
      <c r="AN23" s="173">
        <v>0.44444444444444442</v>
      </c>
      <c r="AO23" s="173">
        <v>0</v>
      </c>
      <c r="AP23" s="174">
        <v>7.8000000000000007</v>
      </c>
      <c r="AQ23" s="128" t="s">
        <v>77</v>
      </c>
      <c r="AR23" s="172">
        <v>3</v>
      </c>
      <c r="AS23" s="172">
        <v>5</v>
      </c>
      <c r="AT23" s="172">
        <v>0</v>
      </c>
      <c r="AU23" s="172">
        <v>2</v>
      </c>
      <c r="AV23" s="172">
        <v>3</v>
      </c>
      <c r="AW23" s="172">
        <v>7</v>
      </c>
      <c r="AX23" s="172">
        <v>0</v>
      </c>
      <c r="AY23" s="172">
        <v>1</v>
      </c>
      <c r="AZ23" s="172">
        <v>6</v>
      </c>
      <c r="BA23" s="172">
        <v>8</v>
      </c>
      <c r="BB23" s="172">
        <v>3</v>
      </c>
      <c r="BC23" s="172">
        <v>0</v>
      </c>
      <c r="BD23" s="172">
        <v>3</v>
      </c>
      <c r="BE23" s="172">
        <v>5</v>
      </c>
      <c r="BF23" s="172">
        <v>2</v>
      </c>
      <c r="BG23" s="173">
        <v>0.42857142857142855</v>
      </c>
      <c r="BH23" s="173">
        <v>0</v>
      </c>
      <c r="BI23" s="173">
        <v>0.6</v>
      </c>
      <c r="BJ23" s="173">
        <v>0</v>
      </c>
      <c r="BK23" s="174">
        <v>5.1999999999999993</v>
      </c>
      <c r="BL23" s="128" t="s">
        <v>77</v>
      </c>
      <c r="BM23" s="172">
        <v>0</v>
      </c>
      <c r="BN23" s="172">
        <v>2</v>
      </c>
      <c r="BO23" s="172">
        <v>0</v>
      </c>
      <c r="BP23" s="172">
        <v>2</v>
      </c>
      <c r="BQ23" s="172">
        <v>0</v>
      </c>
      <c r="BR23" s="172">
        <v>4</v>
      </c>
      <c r="BS23" s="172">
        <v>5</v>
      </c>
      <c r="BT23" s="172">
        <v>8</v>
      </c>
      <c r="BU23" s="172">
        <v>5</v>
      </c>
      <c r="BV23" s="172">
        <v>6</v>
      </c>
      <c r="BW23" s="172">
        <v>6</v>
      </c>
      <c r="BX23" s="172">
        <v>1</v>
      </c>
      <c r="BY23" s="172">
        <v>2</v>
      </c>
      <c r="BZ23" s="172">
        <v>3</v>
      </c>
      <c r="CA23" s="172">
        <v>1</v>
      </c>
      <c r="CB23" s="173">
        <v>0</v>
      </c>
      <c r="CC23" s="173">
        <v>0.625</v>
      </c>
      <c r="CD23" s="173">
        <v>0</v>
      </c>
      <c r="CE23" s="173">
        <v>0</v>
      </c>
      <c r="CF23" s="174">
        <v>7.4999999999999982</v>
      </c>
      <c r="CG23" s="128" t="s">
        <v>77</v>
      </c>
      <c r="CH23" s="172">
        <v>1</v>
      </c>
      <c r="CI23" s="172">
        <v>3</v>
      </c>
      <c r="CJ23" s="172">
        <v>0</v>
      </c>
      <c r="CK23" s="172">
        <v>4</v>
      </c>
      <c r="CL23" s="172">
        <v>1</v>
      </c>
      <c r="CM23" s="172">
        <v>7</v>
      </c>
      <c r="CN23" s="172">
        <v>1</v>
      </c>
      <c r="CO23" s="172">
        <v>2</v>
      </c>
      <c r="CP23" s="172">
        <v>3</v>
      </c>
      <c r="CQ23" s="172">
        <v>5</v>
      </c>
      <c r="CR23" s="172">
        <v>7</v>
      </c>
      <c r="CS23" s="172">
        <v>2</v>
      </c>
      <c r="CT23" s="172">
        <v>2</v>
      </c>
      <c r="CU23" s="172">
        <v>3</v>
      </c>
      <c r="CV23" s="172">
        <v>0</v>
      </c>
      <c r="CW23" s="173">
        <v>0.14285714285714285</v>
      </c>
      <c r="CX23" s="173">
        <v>0.5</v>
      </c>
      <c r="CY23" s="173">
        <v>0.33333333333333331</v>
      </c>
      <c r="CZ23" s="173">
        <v>0</v>
      </c>
      <c r="DA23" s="174">
        <v>5.9</v>
      </c>
      <c r="DB23" s="128" t="s">
        <v>77</v>
      </c>
      <c r="DC23" s="172">
        <v>1</v>
      </c>
      <c r="DD23" s="172">
        <v>5</v>
      </c>
      <c r="DE23" s="172">
        <v>0</v>
      </c>
      <c r="DF23" s="172">
        <v>1</v>
      </c>
      <c r="DG23" s="172">
        <v>1</v>
      </c>
      <c r="DH23" s="172">
        <v>6</v>
      </c>
      <c r="DI23" s="172">
        <v>2</v>
      </c>
      <c r="DJ23" s="172">
        <v>2</v>
      </c>
      <c r="DK23" s="172">
        <v>4</v>
      </c>
      <c r="DL23" s="172">
        <v>11</v>
      </c>
      <c r="DM23" s="172">
        <v>5</v>
      </c>
      <c r="DN23" s="172">
        <v>1</v>
      </c>
      <c r="DO23" s="172">
        <v>2</v>
      </c>
      <c r="DP23" s="172">
        <v>5</v>
      </c>
      <c r="DQ23" s="172">
        <v>1</v>
      </c>
      <c r="DR23" s="173">
        <v>0.16666666666666666</v>
      </c>
      <c r="DS23" s="173">
        <v>1</v>
      </c>
      <c r="DT23" s="173">
        <v>0.2</v>
      </c>
      <c r="DU23" s="173">
        <v>0</v>
      </c>
      <c r="DV23" s="174">
        <v>6.5</v>
      </c>
      <c r="DW23" s="128" t="s">
        <v>77</v>
      </c>
      <c r="DX23" s="172">
        <v>1</v>
      </c>
      <c r="DY23" s="172">
        <v>5</v>
      </c>
      <c r="DZ23" s="172">
        <v>0</v>
      </c>
      <c r="EA23" s="172">
        <v>4</v>
      </c>
      <c r="EB23" s="172">
        <v>1</v>
      </c>
      <c r="EC23" s="172">
        <v>9</v>
      </c>
      <c r="ED23" s="172">
        <v>0</v>
      </c>
      <c r="EE23" s="172">
        <v>0</v>
      </c>
      <c r="EF23" s="172">
        <v>2</v>
      </c>
      <c r="EG23" s="172">
        <v>3</v>
      </c>
      <c r="EH23" s="172">
        <v>3</v>
      </c>
      <c r="EI23" s="172">
        <v>0</v>
      </c>
      <c r="EJ23" s="172">
        <v>0</v>
      </c>
      <c r="EK23" s="172">
        <v>3</v>
      </c>
      <c r="EL23" s="172">
        <v>5</v>
      </c>
      <c r="EM23" s="173">
        <v>0.1111111111111111</v>
      </c>
      <c r="EN23" s="173">
        <v>0</v>
      </c>
      <c r="EO23" s="173">
        <v>0.2</v>
      </c>
      <c r="EP23" s="173">
        <v>0</v>
      </c>
      <c r="EQ23" s="174">
        <v>-5.3000000000000007</v>
      </c>
      <c r="ER23" s="128" t="s">
        <v>77</v>
      </c>
      <c r="ES23" s="172">
        <v>0</v>
      </c>
      <c r="ET23" s="172">
        <v>6</v>
      </c>
      <c r="EU23" s="172">
        <v>0</v>
      </c>
      <c r="EV23" s="172">
        <v>2</v>
      </c>
      <c r="EW23" s="172">
        <v>0</v>
      </c>
      <c r="EX23" s="172">
        <v>8</v>
      </c>
      <c r="EY23" s="172">
        <v>0</v>
      </c>
      <c r="EZ23" s="172">
        <v>0</v>
      </c>
      <c r="FA23" s="172">
        <v>0</v>
      </c>
      <c r="FB23" s="172">
        <v>12</v>
      </c>
      <c r="FC23" s="172">
        <v>5</v>
      </c>
      <c r="FD23" s="172">
        <v>0</v>
      </c>
      <c r="FE23" s="172">
        <v>5</v>
      </c>
      <c r="FF23" s="172">
        <v>3</v>
      </c>
      <c r="FG23" s="172">
        <v>2</v>
      </c>
      <c r="FH23" s="173">
        <v>0</v>
      </c>
      <c r="FI23" s="173">
        <v>0</v>
      </c>
      <c r="FJ23" s="173">
        <v>0</v>
      </c>
      <c r="FK23" s="173">
        <v>0</v>
      </c>
      <c r="FL23" s="174">
        <v>5.0999999999999996</v>
      </c>
      <c r="FM23" s="128" t="s">
        <v>77</v>
      </c>
      <c r="FN23" s="172">
        <v>1</v>
      </c>
      <c r="FO23" s="172">
        <v>5</v>
      </c>
      <c r="FP23" s="172">
        <v>0</v>
      </c>
      <c r="FQ23" s="172">
        <v>1</v>
      </c>
      <c r="FR23" s="172">
        <v>1</v>
      </c>
      <c r="FS23" s="172">
        <v>6</v>
      </c>
      <c r="FT23" s="172">
        <v>1</v>
      </c>
      <c r="FU23" s="172">
        <v>4</v>
      </c>
      <c r="FV23" s="172">
        <v>3</v>
      </c>
      <c r="FW23" s="172">
        <v>4</v>
      </c>
      <c r="FX23" s="172">
        <v>4</v>
      </c>
      <c r="FY23" s="172">
        <v>1</v>
      </c>
      <c r="FZ23" s="172">
        <v>3</v>
      </c>
      <c r="GA23" s="172">
        <v>4</v>
      </c>
      <c r="GB23" s="172">
        <v>3</v>
      </c>
      <c r="GC23" s="173">
        <v>0.16666666666666666</v>
      </c>
      <c r="GD23" s="173">
        <v>0.25</v>
      </c>
      <c r="GE23" s="173">
        <v>0.2</v>
      </c>
      <c r="GF23" s="173">
        <v>0</v>
      </c>
      <c r="GG23" s="174">
        <v>1.3000000000000007</v>
      </c>
      <c r="GH23" s="128" t="s">
        <v>77</v>
      </c>
      <c r="GI23" s="172">
        <v>3</v>
      </c>
      <c r="GJ23" s="172">
        <v>6</v>
      </c>
      <c r="GK23" s="172">
        <v>0</v>
      </c>
      <c r="GL23" s="172">
        <v>0</v>
      </c>
      <c r="GM23" s="172">
        <v>3</v>
      </c>
      <c r="GN23" s="172">
        <v>6</v>
      </c>
      <c r="GO23" s="172">
        <v>0</v>
      </c>
      <c r="GP23" s="172">
        <v>0</v>
      </c>
      <c r="GQ23" s="172">
        <v>6</v>
      </c>
      <c r="GR23" s="172">
        <v>1</v>
      </c>
      <c r="GS23" s="172">
        <v>2</v>
      </c>
      <c r="GT23" s="172">
        <v>0</v>
      </c>
      <c r="GU23" s="172">
        <v>1</v>
      </c>
      <c r="GV23" s="172">
        <v>0</v>
      </c>
      <c r="GW23" s="172">
        <v>0</v>
      </c>
      <c r="GX23" s="173">
        <v>0.5</v>
      </c>
      <c r="GY23" s="173">
        <v>0</v>
      </c>
      <c r="GZ23" s="173">
        <v>0.5</v>
      </c>
      <c r="HA23" s="173">
        <v>0</v>
      </c>
      <c r="HB23" s="174">
        <v>5.9</v>
      </c>
      <c r="HC23" s="128" t="s">
        <v>77</v>
      </c>
      <c r="HD23" s="172" t="s">
        <v>78</v>
      </c>
      <c r="HE23" s="172" t="s">
        <v>78</v>
      </c>
      <c r="HF23" s="172" t="s">
        <v>78</v>
      </c>
      <c r="HG23" s="172" t="s">
        <v>78</v>
      </c>
      <c r="HH23" s="172" t="s">
        <v>78</v>
      </c>
      <c r="HI23" s="172" t="s">
        <v>78</v>
      </c>
      <c r="HJ23" s="172" t="s">
        <v>78</v>
      </c>
      <c r="HK23" s="172" t="s">
        <v>78</v>
      </c>
      <c r="HL23" s="172" t="s">
        <v>78</v>
      </c>
      <c r="HM23" s="172" t="s">
        <v>78</v>
      </c>
      <c r="HN23" s="172" t="s">
        <v>78</v>
      </c>
      <c r="HO23" s="172" t="s">
        <v>78</v>
      </c>
      <c r="HP23" s="172" t="s">
        <v>78</v>
      </c>
      <c r="HQ23" s="172" t="s">
        <v>78</v>
      </c>
      <c r="HR23" s="172" t="s">
        <v>78</v>
      </c>
      <c r="HS23" s="172" t="s">
        <v>78</v>
      </c>
      <c r="HT23" s="172" t="s">
        <v>78</v>
      </c>
      <c r="HU23" s="172" t="s">
        <v>78</v>
      </c>
      <c r="HV23" s="172" t="s">
        <v>78</v>
      </c>
      <c r="HW23" s="172" t="s">
        <v>78</v>
      </c>
      <c r="HX23" s="128" t="s">
        <v>77</v>
      </c>
      <c r="HY23" s="172" t="s">
        <v>78</v>
      </c>
      <c r="HZ23" s="172" t="s">
        <v>78</v>
      </c>
      <c r="IA23" s="172" t="s">
        <v>78</v>
      </c>
      <c r="IB23" s="172" t="s">
        <v>78</v>
      </c>
      <c r="IC23" s="172" t="s">
        <v>78</v>
      </c>
      <c r="ID23" s="172" t="s">
        <v>78</v>
      </c>
      <c r="IE23" s="172" t="s">
        <v>78</v>
      </c>
      <c r="IF23" s="172" t="s">
        <v>78</v>
      </c>
      <c r="IG23" s="172" t="s">
        <v>78</v>
      </c>
      <c r="IH23" s="172" t="s">
        <v>78</v>
      </c>
      <c r="II23" s="172" t="s">
        <v>78</v>
      </c>
      <c r="IJ23" s="172" t="s">
        <v>78</v>
      </c>
      <c r="IK23" s="172" t="s">
        <v>78</v>
      </c>
      <c r="IL23" s="172" t="s">
        <v>78</v>
      </c>
      <c r="IM23" s="172" t="s">
        <v>78</v>
      </c>
      <c r="IN23" s="172" t="s">
        <v>78</v>
      </c>
      <c r="IO23" s="172" t="s">
        <v>78</v>
      </c>
      <c r="IP23" s="172" t="s">
        <v>78</v>
      </c>
      <c r="IQ23" s="172" t="s">
        <v>78</v>
      </c>
      <c r="IR23" s="172" t="s">
        <v>78</v>
      </c>
      <c r="IS23" s="128" t="s">
        <v>77</v>
      </c>
      <c r="IT23" s="172">
        <v>4</v>
      </c>
      <c r="IU23" s="172">
        <v>7</v>
      </c>
      <c r="IV23" s="172">
        <v>0</v>
      </c>
      <c r="IW23" s="172">
        <v>1</v>
      </c>
      <c r="IX23" s="172">
        <v>4</v>
      </c>
      <c r="IY23" s="172">
        <v>8</v>
      </c>
      <c r="IZ23" s="172">
        <v>0</v>
      </c>
      <c r="JA23" s="172">
        <v>1</v>
      </c>
      <c r="JB23" s="172">
        <v>8</v>
      </c>
      <c r="JC23" s="172">
        <v>5</v>
      </c>
      <c r="JD23" s="172">
        <v>7</v>
      </c>
      <c r="JE23" s="172">
        <v>0</v>
      </c>
      <c r="JF23" s="172">
        <v>0</v>
      </c>
      <c r="JG23" s="172">
        <v>3</v>
      </c>
      <c r="JH23" s="172">
        <v>1</v>
      </c>
      <c r="JI23" s="173">
        <v>0.5</v>
      </c>
      <c r="JJ23" s="173">
        <v>0</v>
      </c>
      <c r="JK23" s="173">
        <v>0.5714285714285714</v>
      </c>
      <c r="JL23" s="173">
        <v>0</v>
      </c>
      <c r="JM23" s="174">
        <v>7.6</v>
      </c>
      <c r="JN23" s="128" t="s">
        <v>77</v>
      </c>
      <c r="JO23" s="172">
        <v>1</v>
      </c>
      <c r="JP23" s="172">
        <v>2</v>
      </c>
      <c r="JQ23" s="172">
        <v>3</v>
      </c>
      <c r="JR23" s="172">
        <v>7</v>
      </c>
      <c r="JS23" s="172">
        <v>4</v>
      </c>
      <c r="JT23" s="172">
        <v>9</v>
      </c>
      <c r="JU23" s="172">
        <v>1</v>
      </c>
      <c r="JV23" s="172">
        <v>2</v>
      </c>
      <c r="JW23" s="172">
        <v>12</v>
      </c>
      <c r="JX23" s="172">
        <v>5</v>
      </c>
      <c r="JY23" s="172">
        <v>4</v>
      </c>
      <c r="JZ23" s="172">
        <v>0</v>
      </c>
      <c r="KA23" s="172">
        <v>1</v>
      </c>
      <c r="KB23" s="172">
        <v>2</v>
      </c>
      <c r="KC23" s="172">
        <v>2</v>
      </c>
      <c r="KD23" s="173">
        <v>0.44444444444444442</v>
      </c>
      <c r="KE23" s="173">
        <v>0.16666666666666666</v>
      </c>
      <c r="KF23" s="173">
        <v>0.5</v>
      </c>
      <c r="KG23" s="173">
        <v>0.42857142857142855</v>
      </c>
      <c r="KH23" s="174">
        <v>10.399999999999999</v>
      </c>
      <c r="KI23" s="170"/>
      <c r="KK23" s="173"/>
      <c r="KL23" s="173"/>
      <c r="KM23" s="173"/>
      <c r="KN23" s="173"/>
      <c r="KO23" s="174"/>
      <c r="KP23" s="171"/>
      <c r="LE23" s="173"/>
      <c r="LF23" s="173"/>
      <c r="LG23" s="173"/>
      <c r="LH23" s="173"/>
      <c r="LI23" s="174"/>
    </row>
    <row r="24" spans="1:321" s="175" customFormat="1" ht="45" customHeight="1" x14ac:dyDescent="0.2">
      <c r="A24" s="128" t="s">
        <v>79</v>
      </c>
      <c r="B24" s="175">
        <v>1</v>
      </c>
      <c r="C24" s="175">
        <v>1</v>
      </c>
      <c r="D24" s="175">
        <v>0</v>
      </c>
      <c r="E24" s="175">
        <v>0</v>
      </c>
      <c r="F24" s="175">
        <v>1</v>
      </c>
      <c r="G24" s="175">
        <v>1</v>
      </c>
      <c r="H24" s="175">
        <v>1</v>
      </c>
      <c r="I24" s="175">
        <v>2</v>
      </c>
      <c r="J24" s="175">
        <v>3</v>
      </c>
      <c r="K24" s="175">
        <v>3</v>
      </c>
      <c r="L24" s="175">
        <v>1</v>
      </c>
      <c r="M24" s="175">
        <v>1</v>
      </c>
      <c r="N24" s="175">
        <v>1</v>
      </c>
      <c r="O24" s="175">
        <v>0</v>
      </c>
      <c r="P24" s="175">
        <v>3</v>
      </c>
      <c r="Q24" s="176">
        <v>1</v>
      </c>
      <c r="R24" s="176">
        <v>0.5</v>
      </c>
      <c r="S24" s="176">
        <v>1</v>
      </c>
      <c r="T24" s="176">
        <v>0</v>
      </c>
      <c r="U24" s="177">
        <v>5.0000000000000009</v>
      </c>
      <c r="V24" s="128" t="s">
        <v>79</v>
      </c>
      <c r="W24" s="175">
        <v>1</v>
      </c>
      <c r="X24" s="175">
        <v>2</v>
      </c>
      <c r="Y24" s="175">
        <v>0</v>
      </c>
      <c r="Z24" s="175">
        <v>1</v>
      </c>
      <c r="AA24" s="175">
        <v>1</v>
      </c>
      <c r="AB24" s="175">
        <v>3</v>
      </c>
      <c r="AC24" s="175">
        <v>0</v>
      </c>
      <c r="AD24" s="175">
        <v>0</v>
      </c>
      <c r="AE24" s="175">
        <v>2</v>
      </c>
      <c r="AF24" s="175">
        <v>5</v>
      </c>
      <c r="AH24" s="175">
        <v>1</v>
      </c>
      <c r="AI24" s="175">
        <v>3</v>
      </c>
      <c r="AJ24" s="175">
        <v>2</v>
      </c>
      <c r="AK24" s="175">
        <v>4</v>
      </c>
      <c r="AL24" s="176">
        <v>0.33333333333333331</v>
      </c>
      <c r="AM24" s="176">
        <v>0</v>
      </c>
      <c r="AN24" s="176">
        <v>0.5</v>
      </c>
      <c r="AO24" s="176">
        <v>0</v>
      </c>
      <c r="AP24" s="177">
        <v>2.9000000000000004</v>
      </c>
      <c r="AQ24" s="128" t="s">
        <v>79</v>
      </c>
      <c r="AR24" s="175">
        <v>2</v>
      </c>
      <c r="AS24" s="175">
        <v>7</v>
      </c>
      <c r="AT24" s="175">
        <v>0</v>
      </c>
      <c r="AU24" s="175">
        <v>0</v>
      </c>
      <c r="AV24" s="175">
        <v>2</v>
      </c>
      <c r="AW24" s="175">
        <v>7</v>
      </c>
      <c r="AX24" s="175">
        <v>0</v>
      </c>
      <c r="AY24" s="175">
        <v>0</v>
      </c>
      <c r="AZ24" s="175">
        <v>4</v>
      </c>
      <c r="BA24" s="175">
        <v>10</v>
      </c>
      <c r="BB24" s="175">
        <v>0</v>
      </c>
      <c r="BC24" s="175">
        <v>0</v>
      </c>
      <c r="BD24" s="175">
        <v>0</v>
      </c>
      <c r="BE24" s="175">
        <v>0</v>
      </c>
      <c r="BF24" s="175">
        <v>4</v>
      </c>
      <c r="BG24" s="176">
        <v>0.2857142857142857</v>
      </c>
      <c r="BH24" s="176">
        <v>0</v>
      </c>
      <c r="BI24" s="176">
        <v>0.2857142857142857</v>
      </c>
      <c r="BJ24" s="176">
        <v>0</v>
      </c>
      <c r="BK24" s="177">
        <v>3.3000000000000003</v>
      </c>
      <c r="BL24" s="128" t="s">
        <v>79</v>
      </c>
      <c r="BM24" s="175" t="s">
        <v>78</v>
      </c>
      <c r="BN24" s="175" t="s">
        <v>78</v>
      </c>
      <c r="BO24" s="175" t="s">
        <v>78</v>
      </c>
      <c r="BP24" s="175" t="s">
        <v>78</v>
      </c>
      <c r="BQ24" s="175" t="s">
        <v>78</v>
      </c>
      <c r="BR24" s="175" t="s">
        <v>78</v>
      </c>
      <c r="BS24" s="175" t="s">
        <v>78</v>
      </c>
      <c r="BT24" s="175" t="s">
        <v>78</v>
      </c>
      <c r="BU24" s="175" t="s">
        <v>78</v>
      </c>
      <c r="BV24" s="175" t="s">
        <v>78</v>
      </c>
      <c r="BW24" s="175" t="s">
        <v>78</v>
      </c>
      <c r="BX24" s="175" t="s">
        <v>78</v>
      </c>
      <c r="BY24" s="175" t="s">
        <v>78</v>
      </c>
      <c r="BZ24" s="175" t="s">
        <v>78</v>
      </c>
      <c r="CA24" s="175" t="s">
        <v>78</v>
      </c>
      <c r="CB24" s="175" t="s">
        <v>78</v>
      </c>
      <c r="CC24" s="175" t="s">
        <v>78</v>
      </c>
      <c r="CD24" s="175" t="s">
        <v>78</v>
      </c>
      <c r="CE24" s="175" t="s">
        <v>78</v>
      </c>
      <c r="CF24" s="175" t="s">
        <v>78</v>
      </c>
      <c r="CG24" s="128" t="s">
        <v>79</v>
      </c>
      <c r="CH24" s="175" t="s">
        <v>78</v>
      </c>
      <c r="CI24" s="175" t="s">
        <v>78</v>
      </c>
      <c r="CJ24" s="175" t="s">
        <v>78</v>
      </c>
      <c r="CK24" s="175" t="s">
        <v>78</v>
      </c>
      <c r="CL24" s="175" t="s">
        <v>78</v>
      </c>
      <c r="CM24" s="175" t="s">
        <v>78</v>
      </c>
      <c r="CN24" s="175" t="s">
        <v>78</v>
      </c>
      <c r="CO24" s="175" t="s">
        <v>78</v>
      </c>
      <c r="CP24" s="175" t="s">
        <v>78</v>
      </c>
      <c r="CQ24" s="175" t="s">
        <v>78</v>
      </c>
      <c r="CR24" s="175" t="s">
        <v>78</v>
      </c>
      <c r="CS24" s="175" t="s">
        <v>78</v>
      </c>
      <c r="CT24" s="175" t="s">
        <v>78</v>
      </c>
      <c r="CU24" s="175" t="s">
        <v>78</v>
      </c>
      <c r="CV24" s="175" t="s">
        <v>78</v>
      </c>
      <c r="CW24" s="175" t="s">
        <v>78</v>
      </c>
      <c r="CX24" s="175" t="s">
        <v>78</v>
      </c>
      <c r="CY24" s="175" t="s">
        <v>78</v>
      </c>
      <c r="CZ24" s="175" t="s">
        <v>78</v>
      </c>
      <c r="DA24" s="175" t="s">
        <v>78</v>
      </c>
      <c r="DB24" s="128" t="s">
        <v>79</v>
      </c>
      <c r="DC24" s="175" t="s">
        <v>78</v>
      </c>
      <c r="DD24" s="175" t="s">
        <v>78</v>
      </c>
      <c r="DE24" s="175" t="s">
        <v>78</v>
      </c>
      <c r="DF24" s="175" t="s">
        <v>78</v>
      </c>
      <c r="DG24" s="175" t="s">
        <v>78</v>
      </c>
      <c r="DH24" s="175" t="s">
        <v>78</v>
      </c>
      <c r="DI24" s="175" t="s">
        <v>78</v>
      </c>
      <c r="DJ24" s="175" t="s">
        <v>78</v>
      </c>
      <c r="DK24" s="175" t="s">
        <v>78</v>
      </c>
      <c r="DL24" s="175" t="s">
        <v>78</v>
      </c>
      <c r="DM24" s="175" t="s">
        <v>78</v>
      </c>
      <c r="DN24" s="175" t="s">
        <v>78</v>
      </c>
      <c r="DO24" s="175" t="s">
        <v>78</v>
      </c>
      <c r="DP24" s="175" t="s">
        <v>78</v>
      </c>
      <c r="DQ24" s="175" t="s">
        <v>78</v>
      </c>
      <c r="DR24" s="175" t="s">
        <v>78</v>
      </c>
      <c r="DS24" s="175" t="s">
        <v>78</v>
      </c>
      <c r="DT24" s="175" t="s">
        <v>78</v>
      </c>
      <c r="DU24" s="175" t="s">
        <v>78</v>
      </c>
      <c r="DV24" s="175" t="s">
        <v>78</v>
      </c>
      <c r="DW24" s="128" t="s">
        <v>79</v>
      </c>
      <c r="DX24" s="175" t="s">
        <v>78</v>
      </c>
      <c r="DY24" s="175" t="s">
        <v>78</v>
      </c>
      <c r="DZ24" s="175" t="s">
        <v>78</v>
      </c>
      <c r="EA24" s="175" t="s">
        <v>78</v>
      </c>
      <c r="EB24" s="175" t="s">
        <v>78</v>
      </c>
      <c r="EC24" s="175" t="s">
        <v>78</v>
      </c>
      <c r="ED24" s="175" t="s">
        <v>78</v>
      </c>
      <c r="EE24" s="175" t="s">
        <v>78</v>
      </c>
      <c r="EF24" s="175" t="s">
        <v>78</v>
      </c>
      <c r="EG24" s="175" t="s">
        <v>78</v>
      </c>
      <c r="EH24" s="175" t="s">
        <v>78</v>
      </c>
      <c r="EI24" s="175" t="s">
        <v>78</v>
      </c>
      <c r="EJ24" s="175" t="s">
        <v>78</v>
      </c>
      <c r="EK24" s="175" t="s">
        <v>78</v>
      </c>
      <c r="EL24" s="175" t="s">
        <v>78</v>
      </c>
      <c r="EM24" s="175" t="s">
        <v>78</v>
      </c>
      <c r="EN24" s="175" t="s">
        <v>78</v>
      </c>
      <c r="EO24" s="175" t="s">
        <v>78</v>
      </c>
      <c r="EP24" s="175" t="s">
        <v>78</v>
      </c>
      <c r="EQ24" s="175" t="s">
        <v>78</v>
      </c>
      <c r="ER24" s="128" t="s">
        <v>79</v>
      </c>
      <c r="ES24" s="175">
        <v>3</v>
      </c>
      <c r="ET24" s="175">
        <v>6</v>
      </c>
      <c r="EU24" s="175">
        <v>0</v>
      </c>
      <c r="EV24" s="175">
        <v>0</v>
      </c>
      <c r="EW24" s="175">
        <v>3</v>
      </c>
      <c r="EX24" s="175">
        <v>6</v>
      </c>
      <c r="EY24" s="175">
        <v>0</v>
      </c>
      <c r="EZ24" s="175">
        <v>0</v>
      </c>
      <c r="FA24" s="175">
        <v>6</v>
      </c>
      <c r="FB24" s="175">
        <v>7</v>
      </c>
      <c r="FC24" s="175">
        <v>2</v>
      </c>
      <c r="FD24" s="175">
        <v>0</v>
      </c>
      <c r="FE24" s="175">
        <v>1</v>
      </c>
      <c r="FF24" s="175">
        <v>0</v>
      </c>
      <c r="FG24" s="175">
        <v>0</v>
      </c>
      <c r="FH24" s="176">
        <v>0.5</v>
      </c>
      <c r="FI24" s="176">
        <v>0</v>
      </c>
      <c r="FJ24" s="176">
        <v>0.5</v>
      </c>
      <c r="FK24" s="176">
        <v>0</v>
      </c>
      <c r="FL24" s="177">
        <v>8.9</v>
      </c>
      <c r="FM24" s="128" t="s">
        <v>79</v>
      </c>
      <c r="FN24" s="175">
        <v>1</v>
      </c>
      <c r="FO24" s="175">
        <v>4</v>
      </c>
      <c r="FP24" s="175">
        <v>0</v>
      </c>
      <c r="FQ24" s="175">
        <v>0</v>
      </c>
      <c r="FR24" s="175">
        <v>1</v>
      </c>
      <c r="FS24" s="175">
        <v>4</v>
      </c>
      <c r="FT24" s="175">
        <v>0</v>
      </c>
      <c r="FU24" s="175">
        <v>0</v>
      </c>
      <c r="FV24" s="175">
        <v>2</v>
      </c>
      <c r="FW24" s="175">
        <v>5</v>
      </c>
      <c r="FX24" s="175">
        <v>0</v>
      </c>
      <c r="FY24" s="175">
        <v>1</v>
      </c>
      <c r="FZ24" s="175">
        <v>3</v>
      </c>
      <c r="GA24" s="175">
        <v>1</v>
      </c>
      <c r="GB24" s="175">
        <v>5</v>
      </c>
      <c r="GC24" s="176">
        <v>0.25</v>
      </c>
      <c r="GD24" s="176">
        <v>0</v>
      </c>
      <c r="GE24" s="176">
        <v>0.25</v>
      </c>
      <c r="GF24" s="176">
        <v>0</v>
      </c>
      <c r="GG24" s="177">
        <v>2.8</v>
      </c>
      <c r="GH24" s="128" t="s">
        <v>79</v>
      </c>
      <c r="GI24" s="175">
        <v>2</v>
      </c>
      <c r="GJ24" s="175">
        <v>7</v>
      </c>
      <c r="GK24" s="175">
        <v>0</v>
      </c>
      <c r="GL24" s="175">
        <v>0</v>
      </c>
      <c r="GM24" s="175">
        <v>2</v>
      </c>
      <c r="GN24" s="175">
        <v>7</v>
      </c>
      <c r="GO24" s="175">
        <v>0</v>
      </c>
      <c r="GP24" s="175">
        <v>5</v>
      </c>
      <c r="GQ24" s="175">
        <v>4</v>
      </c>
      <c r="GR24" s="175">
        <v>14</v>
      </c>
      <c r="GS24" s="175">
        <v>0</v>
      </c>
      <c r="GT24" s="175">
        <v>0</v>
      </c>
      <c r="GU24" s="175">
        <v>1</v>
      </c>
      <c r="GV24" s="175">
        <v>0</v>
      </c>
      <c r="GW24" s="175">
        <v>3</v>
      </c>
      <c r="GX24" s="176">
        <v>0.2857142857142857</v>
      </c>
      <c r="GY24" s="176">
        <v>0</v>
      </c>
      <c r="GZ24" s="176">
        <v>0.2857142857142857</v>
      </c>
      <c r="HA24" s="176">
        <v>0</v>
      </c>
      <c r="HB24" s="177">
        <v>4.7</v>
      </c>
      <c r="HC24" s="128" t="s">
        <v>79</v>
      </c>
      <c r="HD24" s="175">
        <v>2</v>
      </c>
      <c r="HE24" s="175">
        <v>4</v>
      </c>
      <c r="HF24" s="175">
        <v>0</v>
      </c>
      <c r="HG24" s="175">
        <v>1</v>
      </c>
      <c r="HH24" s="175">
        <v>2</v>
      </c>
      <c r="HI24" s="175">
        <v>5</v>
      </c>
      <c r="HJ24" s="175">
        <v>0</v>
      </c>
      <c r="HK24" s="175">
        <v>1</v>
      </c>
      <c r="HL24" s="175">
        <v>4</v>
      </c>
      <c r="HM24" s="175">
        <v>9</v>
      </c>
      <c r="HN24" s="175">
        <v>2</v>
      </c>
      <c r="HO24" s="175">
        <v>0</v>
      </c>
      <c r="HP24" s="175">
        <v>4</v>
      </c>
      <c r="HQ24" s="175">
        <v>0</v>
      </c>
      <c r="HR24" s="175">
        <v>2</v>
      </c>
      <c r="HS24" s="176">
        <v>0.4</v>
      </c>
      <c r="HT24" s="176">
        <v>0</v>
      </c>
      <c r="HU24" s="176">
        <v>0.5</v>
      </c>
      <c r="HV24" s="176">
        <v>0</v>
      </c>
      <c r="HW24" s="177">
        <v>9.9999999999999982</v>
      </c>
      <c r="HX24" s="128" t="s">
        <v>79</v>
      </c>
      <c r="HY24" s="175">
        <v>3</v>
      </c>
      <c r="HZ24" s="175">
        <v>7</v>
      </c>
      <c r="IA24" s="175">
        <v>0</v>
      </c>
      <c r="IB24" s="175">
        <v>1</v>
      </c>
      <c r="IC24" s="175">
        <v>3</v>
      </c>
      <c r="ID24" s="175">
        <v>8</v>
      </c>
      <c r="IE24" s="175">
        <v>1</v>
      </c>
      <c r="IF24" s="175">
        <v>1</v>
      </c>
      <c r="IG24" s="175">
        <v>7</v>
      </c>
      <c r="IH24" s="175">
        <v>6</v>
      </c>
      <c r="II24" s="175">
        <v>2</v>
      </c>
      <c r="IJ24" s="175">
        <v>0</v>
      </c>
      <c r="IK24" s="175">
        <v>1</v>
      </c>
      <c r="IL24" s="175">
        <v>0</v>
      </c>
      <c r="IM24" s="175">
        <v>4</v>
      </c>
      <c r="IN24" s="176">
        <v>0.375</v>
      </c>
      <c r="IO24" s="176">
        <v>1</v>
      </c>
      <c r="IP24" s="176">
        <v>0.42857142857142855</v>
      </c>
      <c r="IQ24" s="176">
        <v>0</v>
      </c>
      <c r="IR24" s="177">
        <v>6.4</v>
      </c>
      <c r="IS24" s="128" t="s">
        <v>79</v>
      </c>
      <c r="IT24" s="175" t="s">
        <v>78</v>
      </c>
      <c r="IU24" s="175" t="s">
        <v>78</v>
      </c>
      <c r="IV24" s="175" t="s">
        <v>78</v>
      </c>
      <c r="IW24" s="175" t="s">
        <v>78</v>
      </c>
      <c r="IX24" s="175" t="s">
        <v>78</v>
      </c>
      <c r="IY24" s="175" t="s">
        <v>78</v>
      </c>
      <c r="IZ24" s="175" t="s">
        <v>78</v>
      </c>
      <c r="JA24" s="175" t="s">
        <v>78</v>
      </c>
      <c r="JB24" s="175" t="s">
        <v>78</v>
      </c>
      <c r="JC24" s="175" t="s">
        <v>78</v>
      </c>
      <c r="JD24" s="175" t="s">
        <v>78</v>
      </c>
      <c r="JE24" s="175" t="s">
        <v>78</v>
      </c>
      <c r="JF24" s="175" t="s">
        <v>78</v>
      </c>
      <c r="JG24" s="175" t="s">
        <v>78</v>
      </c>
      <c r="JH24" s="175" t="s">
        <v>78</v>
      </c>
      <c r="JI24" s="175" t="s">
        <v>78</v>
      </c>
      <c r="JJ24" s="175" t="s">
        <v>78</v>
      </c>
      <c r="JK24" s="175" t="s">
        <v>78</v>
      </c>
      <c r="JL24" s="175" t="s">
        <v>78</v>
      </c>
      <c r="JM24" s="175" t="s">
        <v>78</v>
      </c>
      <c r="JN24" s="128" t="s">
        <v>79</v>
      </c>
      <c r="JO24" s="175">
        <v>0</v>
      </c>
      <c r="JP24" s="175">
        <v>4</v>
      </c>
      <c r="JQ24" s="175">
        <v>0</v>
      </c>
      <c r="JR24" s="175">
        <v>0</v>
      </c>
      <c r="JS24" s="175">
        <v>0</v>
      </c>
      <c r="JT24" s="175">
        <v>4</v>
      </c>
      <c r="JU24" s="175">
        <v>0</v>
      </c>
      <c r="JV24" s="175">
        <v>0</v>
      </c>
      <c r="JW24" s="175">
        <v>0</v>
      </c>
      <c r="JX24" s="175">
        <v>6</v>
      </c>
      <c r="JY24" s="175">
        <v>0</v>
      </c>
      <c r="JZ24" s="175">
        <v>0</v>
      </c>
      <c r="KA24" s="175">
        <v>0</v>
      </c>
      <c r="KB24" s="175">
        <v>3</v>
      </c>
      <c r="KC24" s="175">
        <v>0</v>
      </c>
      <c r="KD24" s="176">
        <v>0</v>
      </c>
      <c r="KE24" s="176" t="e">
        <v>#DIV/0!</v>
      </c>
      <c r="KF24" s="176">
        <v>0</v>
      </c>
      <c r="KG24" s="176" t="e">
        <v>#DIV/0!</v>
      </c>
      <c r="KH24" s="177">
        <v>-2.8</v>
      </c>
      <c r="KI24" s="170"/>
      <c r="KK24" s="176"/>
      <c r="KL24" s="176"/>
      <c r="KM24" s="176"/>
      <c r="KN24" s="176"/>
      <c r="KO24" s="177"/>
      <c r="KP24" s="178"/>
      <c r="LE24" s="176"/>
      <c r="LF24" s="176"/>
      <c r="LG24" s="176"/>
      <c r="LH24" s="176"/>
      <c r="LI24" s="177"/>
    </row>
    <row r="25" spans="1:321" s="179" customFormat="1" ht="45" customHeight="1" x14ac:dyDescent="0.2">
      <c r="A25" s="128" t="s">
        <v>80</v>
      </c>
      <c r="B25" s="179" t="s">
        <v>78</v>
      </c>
      <c r="C25" s="179" t="s">
        <v>78</v>
      </c>
      <c r="D25" s="179" t="s">
        <v>78</v>
      </c>
      <c r="E25" s="179" t="s">
        <v>78</v>
      </c>
      <c r="F25" s="179" t="s">
        <v>78</v>
      </c>
      <c r="G25" s="179" t="s">
        <v>78</v>
      </c>
      <c r="H25" s="179" t="s">
        <v>78</v>
      </c>
      <c r="I25" s="179" t="s">
        <v>78</v>
      </c>
      <c r="J25" s="179" t="s">
        <v>78</v>
      </c>
      <c r="K25" s="179" t="s">
        <v>78</v>
      </c>
      <c r="L25" s="179" t="s">
        <v>78</v>
      </c>
      <c r="M25" s="179" t="s">
        <v>78</v>
      </c>
      <c r="N25" s="179" t="s">
        <v>78</v>
      </c>
      <c r="O25" s="179" t="s">
        <v>78</v>
      </c>
      <c r="P25" s="179" t="s">
        <v>78</v>
      </c>
      <c r="Q25" s="179" t="s">
        <v>78</v>
      </c>
      <c r="R25" s="179" t="s">
        <v>78</v>
      </c>
      <c r="S25" s="179" t="s">
        <v>78</v>
      </c>
      <c r="T25" s="179" t="s">
        <v>78</v>
      </c>
      <c r="U25" s="179" t="s">
        <v>78</v>
      </c>
      <c r="V25" s="128" t="s">
        <v>80</v>
      </c>
      <c r="W25" s="179" t="s">
        <v>78</v>
      </c>
      <c r="X25" s="179" t="s">
        <v>78</v>
      </c>
      <c r="Y25" s="179" t="s">
        <v>78</v>
      </c>
      <c r="Z25" s="179" t="s">
        <v>78</v>
      </c>
      <c r="AA25" s="179" t="s">
        <v>78</v>
      </c>
      <c r="AB25" s="179" t="s">
        <v>78</v>
      </c>
      <c r="AC25" s="179" t="s">
        <v>78</v>
      </c>
      <c r="AD25" s="179" t="s">
        <v>78</v>
      </c>
      <c r="AE25" s="179" t="s">
        <v>78</v>
      </c>
      <c r="AF25" s="179" t="s">
        <v>78</v>
      </c>
      <c r="AG25" s="179" t="s">
        <v>78</v>
      </c>
      <c r="AH25" s="179" t="s">
        <v>78</v>
      </c>
      <c r="AI25" s="179" t="s">
        <v>78</v>
      </c>
      <c r="AJ25" s="179" t="s">
        <v>78</v>
      </c>
      <c r="AK25" s="179" t="s">
        <v>78</v>
      </c>
      <c r="AL25" s="179" t="s">
        <v>78</v>
      </c>
      <c r="AM25" s="179" t="s">
        <v>78</v>
      </c>
      <c r="AN25" s="179" t="s">
        <v>78</v>
      </c>
      <c r="AO25" s="179" t="s">
        <v>78</v>
      </c>
      <c r="AP25" s="179" t="s">
        <v>78</v>
      </c>
      <c r="AQ25" s="128" t="s">
        <v>80</v>
      </c>
      <c r="AR25" s="179" t="s">
        <v>78</v>
      </c>
      <c r="AS25" s="179" t="s">
        <v>78</v>
      </c>
      <c r="AT25" s="179" t="s">
        <v>78</v>
      </c>
      <c r="AU25" s="179" t="s">
        <v>78</v>
      </c>
      <c r="AV25" s="179" t="s">
        <v>78</v>
      </c>
      <c r="AW25" s="179" t="s">
        <v>78</v>
      </c>
      <c r="AX25" s="179" t="s">
        <v>78</v>
      </c>
      <c r="AY25" s="179" t="s">
        <v>78</v>
      </c>
      <c r="AZ25" s="179" t="s">
        <v>78</v>
      </c>
      <c r="BA25" s="179" t="s">
        <v>78</v>
      </c>
      <c r="BB25" s="179" t="s">
        <v>78</v>
      </c>
      <c r="BC25" s="179" t="s">
        <v>78</v>
      </c>
      <c r="BD25" s="179" t="s">
        <v>78</v>
      </c>
      <c r="BE25" s="179" t="s">
        <v>78</v>
      </c>
      <c r="BF25" s="179" t="s">
        <v>78</v>
      </c>
      <c r="BG25" s="179" t="s">
        <v>78</v>
      </c>
      <c r="BH25" s="179" t="s">
        <v>78</v>
      </c>
      <c r="BI25" s="179" t="s">
        <v>78</v>
      </c>
      <c r="BJ25" s="179" t="s">
        <v>78</v>
      </c>
      <c r="BK25" s="179" t="s">
        <v>78</v>
      </c>
      <c r="BL25" s="128" t="s">
        <v>80</v>
      </c>
      <c r="BM25" s="179" t="s">
        <v>78</v>
      </c>
      <c r="BN25" s="179" t="s">
        <v>78</v>
      </c>
      <c r="BO25" s="179" t="s">
        <v>78</v>
      </c>
      <c r="BP25" s="179" t="s">
        <v>78</v>
      </c>
      <c r="BQ25" s="179" t="s">
        <v>78</v>
      </c>
      <c r="BR25" s="179" t="s">
        <v>78</v>
      </c>
      <c r="BS25" s="179" t="s">
        <v>78</v>
      </c>
      <c r="BT25" s="179" t="s">
        <v>78</v>
      </c>
      <c r="BU25" s="179" t="s">
        <v>78</v>
      </c>
      <c r="BV25" s="179" t="s">
        <v>78</v>
      </c>
      <c r="BW25" s="179" t="s">
        <v>78</v>
      </c>
      <c r="BX25" s="179" t="s">
        <v>78</v>
      </c>
      <c r="BY25" s="179" t="s">
        <v>78</v>
      </c>
      <c r="BZ25" s="179" t="s">
        <v>78</v>
      </c>
      <c r="CB25" s="179" t="s">
        <v>78</v>
      </c>
      <c r="CC25" s="179" t="s">
        <v>78</v>
      </c>
      <c r="CD25" s="179" t="s">
        <v>78</v>
      </c>
      <c r="CE25" s="179" t="s">
        <v>78</v>
      </c>
      <c r="CF25" s="179" t="s">
        <v>78</v>
      </c>
      <c r="CG25" s="128" t="s">
        <v>80</v>
      </c>
      <c r="CH25" s="179" t="s">
        <v>78</v>
      </c>
      <c r="CI25" s="179" t="s">
        <v>78</v>
      </c>
      <c r="CJ25" s="179" t="s">
        <v>78</v>
      </c>
      <c r="CK25" s="179" t="s">
        <v>78</v>
      </c>
      <c r="CL25" s="179" t="s">
        <v>78</v>
      </c>
      <c r="CM25" s="179" t="s">
        <v>78</v>
      </c>
      <c r="CN25" s="179" t="s">
        <v>78</v>
      </c>
      <c r="CO25" s="179" t="s">
        <v>78</v>
      </c>
      <c r="CP25" s="179" t="s">
        <v>78</v>
      </c>
      <c r="CQ25" s="179" t="s">
        <v>78</v>
      </c>
      <c r="CR25" s="179" t="s">
        <v>78</v>
      </c>
      <c r="CS25" s="179" t="s">
        <v>78</v>
      </c>
      <c r="CT25" s="179" t="s">
        <v>78</v>
      </c>
      <c r="CU25" s="179" t="s">
        <v>78</v>
      </c>
      <c r="CV25" s="179" t="s">
        <v>78</v>
      </c>
      <c r="CW25" s="179" t="s">
        <v>78</v>
      </c>
      <c r="CX25" s="179" t="s">
        <v>78</v>
      </c>
      <c r="CY25" s="179" t="s">
        <v>78</v>
      </c>
      <c r="CZ25" s="179" t="s">
        <v>78</v>
      </c>
      <c r="DA25" s="179" t="s">
        <v>78</v>
      </c>
      <c r="DB25" s="128" t="s">
        <v>80</v>
      </c>
      <c r="DC25" s="179" t="s">
        <v>78</v>
      </c>
      <c r="DD25" s="179" t="s">
        <v>78</v>
      </c>
      <c r="DE25" s="179" t="s">
        <v>78</v>
      </c>
      <c r="DF25" s="179" t="s">
        <v>78</v>
      </c>
      <c r="DG25" s="179" t="s">
        <v>78</v>
      </c>
      <c r="DH25" s="179" t="s">
        <v>78</v>
      </c>
      <c r="DI25" s="179" t="s">
        <v>78</v>
      </c>
      <c r="DJ25" s="179" t="s">
        <v>78</v>
      </c>
      <c r="DK25" s="179" t="s">
        <v>78</v>
      </c>
      <c r="DL25" s="179" t="s">
        <v>78</v>
      </c>
      <c r="DM25" s="179" t="s">
        <v>78</v>
      </c>
      <c r="DN25" s="179" t="s">
        <v>78</v>
      </c>
      <c r="DO25" s="179" t="s">
        <v>78</v>
      </c>
      <c r="DP25" s="179" t="s">
        <v>78</v>
      </c>
      <c r="DQ25" s="179" t="s">
        <v>78</v>
      </c>
      <c r="DR25" s="179" t="s">
        <v>78</v>
      </c>
      <c r="DS25" s="179" t="s">
        <v>78</v>
      </c>
      <c r="DT25" s="179" t="s">
        <v>78</v>
      </c>
      <c r="DU25" s="179" t="s">
        <v>78</v>
      </c>
      <c r="DV25" s="179" t="s">
        <v>78</v>
      </c>
      <c r="DW25" s="128" t="s">
        <v>80</v>
      </c>
      <c r="DX25" s="179">
        <v>1</v>
      </c>
      <c r="DY25" s="179">
        <v>1</v>
      </c>
      <c r="DZ25" s="179">
        <v>0</v>
      </c>
      <c r="EA25" s="179">
        <v>3</v>
      </c>
      <c r="EB25" s="179">
        <v>1</v>
      </c>
      <c r="EC25" s="179">
        <v>4</v>
      </c>
      <c r="ED25" s="179">
        <v>1</v>
      </c>
      <c r="EE25" s="179">
        <v>2</v>
      </c>
      <c r="EF25" s="179">
        <v>3</v>
      </c>
      <c r="EG25" s="179">
        <v>7</v>
      </c>
      <c r="EH25" s="179">
        <v>1</v>
      </c>
      <c r="EI25" s="179">
        <v>1</v>
      </c>
      <c r="EJ25" s="179">
        <v>0</v>
      </c>
      <c r="EK25" s="179">
        <v>2</v>
      </c>
      <c r="EL25" s="179">
        <v>2</v>
      </c>
      <c r="EM25" s="180">
        <v>0.25</v>
      </c>
      <c r="EN25" s="180">
        <v>0.5</v>
      </c>
      <c r="EO25" s="180">
        <v>1</v>
      </c>
      <c r="EP25" s="180">
        <v>0</v>
      </c>
      <c r="EQ25" s="181">
        <v>2.3000000000000007</v>
      </c>
      <c r="ER25" s="128" t="s">
        <v>80</v>
      </c>
      <c r="ES25" s="179">
        <v>0</v>
      </c>
      <c r="ET25" s="179">
        <v>3</v>
      </c>
      <c r="EU25" s="179">
        <v>2</v>
      </c>
      <c r="EV25" s="179">
        <v>4</v>
      </c>
      <c r="EW25" s="179">
        <v>2</v>
      </c>
      <c r="EX25" s="179">
        <v>7</v>
      </c>
      <c r="EY25" s="179">
        <v>0</v>
      </c>
      <c r="EZ25" s="179">
        <v>3</v>
      </c>
      <c r="FA25" s="179">
        <v>6</v>
      </c>
      <c r="FB25" s="179">
        <v>2</v>
      </c>
      <c r="FC25" s="179">
        <v>0</v>
      </c>
      <c r="FD25" s="179">
        <v>0</v>
      </c>
      <c r="FE25" s="179">
        <v>0</v>
      </c>
      <c r="FF25" s="179">
        <v>0</v>
      </c>
      <c r="FG25" s="179">
        <v>0</v>
      </c>
      <c r="FH25" s="180">
        <v>0.2857142857142857</v>
      </c>
      <c r="FI25" s="180">
        <v>0</v>
      </c>
      <c r="FJ25" s="180">
        <v>0</v>
      </c>
      <c r="FK25" s="180">
        <v>0.5</v>
      </c>
      <c r="FL25" s="181">
        <v>1.7000000000000002</v>
      </c>
      <c r="FM25" s="128" t="s">
        <v>80</v>
      </c>
      <c r="FN25" s="179" t="s">
        <v>78</v>
      </c>
      <c r="FO25" s="179" t="s">
        <v>78</v>
      </c>
      <c r="FP25" s="179" t="s">
        <v>78</v>
      </c>
      <c r="FQ25" s="179" t="s">
        <v>78</v>
      </c>
      <c r="FR25" s="179" t="s">
        <v>78</v>
      </c>
      <c r="FS25" s="179" t="s">
        <v>78</v>
      </c>
      <c r="FT25" s="179" t="s">
        <v>78</v>
      </c>
      <c r="FU25" s="179" t="s">
        <v>78</v>
      </c>
      <c r="FV25" s="179" t="s">
        <v>78</v>
      </c>
      <c r="FW25" s="179" t="s">
        <v>78</v>
      </c>
      <c r="FX25" s="179" t="s">
        <v>78</v>
      </c>
      <c r="FY25" s="179" t="s">
        <v>78</v>
      </c>
      <c r="FZ25" s="179" t="s">
        <v>78</v>
      </c>
      <c r="GA25" s="179" t="s">
        <v>78</v>
      </c>
      <c r="GB25" s="179" t="s">
        <v>78</v>
      </c>
      <c r="GC25" s="179" t="s">
        <v>78</v>
      </c>
      <c r="GD25" s="179" t="s">
        <v>78</v>
      </c>
      <c r="GE25" s="179" t="s">
        <v>78</v>
      </c>
      <c r="GF25" s="179" t="s">
        <v>78</v>
      </c>
      <c r="GG25" s="179" t="s">
        <v>78</v>
      </c>
      <c r="GH25" s="128" t="s">
        <v>80</v>
      </c>
      <c r="GI25" s="179" t="s">
        <v>78</v>
      </c>
      <c r="GJ25" s="179" t="s">
        <v>78</v>
      </c>
      <c r="GK25" s="179" t="s">
        <v>78</v>
      </c>
      <c r="GL25" s="179" t="s">
        <v>78</v>
      </c>
      <c r="GM25" s="179" t="s">
        <v>78</v>
      </c>
      <c r="GN25" s="179" t="s">
        <v>78</v>
      </c>
      <c r="GO25" s="179" t="s">
        <v>78</v>
      </c>
      <c r="GP25" s="179" t="s">
        <v>78</v>
      </c>
      <c r="GQ25" s="179" t="s">
        <v>78</v>
      </c>
      <c r="GR25" s="179" t="s">
        <v>78</v>
      </c>
      <c r="GS25" s="179" t="s">
        <v>78</v>
      </c>
      <c r="GT25" s="179" t="s">
        <v>78</v>
      </c>
      <c r="GU25" s="179" t="s">
        <v>78</v>
      </c>
      <c r="GV25" s="179" t="s">
        <v>78</v>
      </c>
      <c r="GW25" s="179" t="s">
        <v>78</v>
      </c>
      <c r="GX25" s="179" t="s">
        <v>78</v>
      </c>
      <c r="GY25" s="179" t="s">
        <v>78</v>
      </c>
      <c r="GZ25" s="179" t="s">
        <v>78</v>
      </c>
      <c r="HA25" s="179" t="s">
        <v>78</v>
      </c>
      <c r="HB25" s="179" t="s">
        <v>78</v>
      </c>
      <c r="HC25" s="128" t="s">
        <v>80</v>
      </c>
      <c r="HD25" s="179">
        <v>4</v>
      </c>
      <c r="HE25" s="179">
        <v>9</v>
      </c>
      <c r="HF25" s="179">
        <v>2</v>
      </c>
      <c r="HG25" s="179">
        <v>5</v>
      </c>
      <c r="HH25" s="179">
        <v>6</v>
      </c>
      <c r="HI25" s="179">
        <v>14</v>
      </c>
      <c r="HJ25" s="179">
        <v>0</v>
      </c>
      <c r="HK25" s="179">
        <v>0</v>
      </c>
      <c r="HL25" s="179">
        <v>14</v>
      </c>
      <c r="HM25" s="179">
        <v>6</v>
      </c>
      <c r="HN25" s="179">
        <v>2</v>
      </c>
      <c r="HO25" s="179">
        <v>0</v>
      </c>
      <c r="HP25" s="179">
        <v>1</v>
      </c>
      <c r="HQ25" s="179">
        <v>2</v>
      </c>
      <c r="HR25" s="179">
        <v>0</v>
      </c>
      <c r="HS25" s="180">
        <v>0.42857142857142855</v>
      </c>
      <c r="HT25" s="180">
        <v>0</v>
      </c>
      <c r="HU25" s="180">
        <v>0.44444444444444442</v>
      </c>
      <c r="HV25" s="180">
        <v>0.4</v>
      </c>
      <c r="HW25" s="181">
        <v>10</v>
      </c>
      <c r="HX25" s="128" t="s">
        <v>80</v>
      </c>
      <c r="HY25" s="179">
        <v>2</v>
      </c>
      <c r="HZ25" s="179">
        <v>4</v>
      </c>
      <c r="IA25" s="179">
        <v>0</v>
      </c>
      <c r="IB25" s="179">
        <v>2</v>
      </c>
      <c r="IC25" s="179">
        <v>2</v>
      </c>
      <c r="ID25" s="179">
        <v>6</v>
      </c>
      <c r="IE25" s="179">
        <v>0</v>
      </c>
      <c r="IF25" s="179">
        <v>0</v>
      </c>
      <c r="IG25" s="179">
        <v>4</v>
      </c>
      <c r="IH25" s="179">
        <v>6</v>
      </c>
      <c r="II25" s="179">
        <v>1</v>
      </c>
      <c r="IJ25" s="179">
        <v>1</v>
      </c>
      <c r="IK25" s="179">
        <v>0</v>
      </c>
      <c r="IL25" s="179">
        <v>3</v>
      </c>
      <c r="IM25" s="179">
        <v>5</v>
      </c>
      <c r="IN25" s="180">
        <v>0.33333333333333331</v>
      </c>
      <c r="IO25" s="180">
        <v>0</v>
      </c>
      <c r="IP25" s="180">
        <v>0.5</v>
      </c>
      <c r="IQ25" s="180">
        <v>0</v>
      </c>
      <c r="IR25" s="181">
        <v>0</v>
      </c>
      <c r="IS25" s="128" t="s">
        <v>80</v>
      </c>
      <c r="IT25" s="179">
        <v>8</v>
      </c>
      <c r="IU25" s="179">
        <v>12</v>
      </c>
      <c r="IV25" s="179">
        <v>0</v>
      </c>
      <c r="IW25" s="179">
        <v>1</v>
      </c>
      <c r="IX25" s="179">
        <v>8</v>
      </c>
      <c r="IY25" s="179">
        <v>13</v>
      </c>
      <c r="IZ25" s="179">
        <v>2</v>
      </c>
      <c r="JA25" s="179">
        <v>2</v>
      </c>
      <c r="JB25" s="179">
        <v>18</v>
      </c>
      <c r="JC25" s="179">
        <v>13</v>
      </c>
      <c r="JD25" s="179">
        <v>3</v>
      </c>
      <c r="JE25" s="179">
        <v>0</v>
      </c>
      <c r="JF25" s="179">
        <v>0</v>
      </c>
      <c r="JG25" s="179">
        <v>4</v>
      </c>
      <c r="JH25" s="179">
        <v>3</v>
      </c>
      <c r="JI25" s="180">
        <v>0.61538461538461542</v>
      </c>
      <c r="JJ25" s="180">
        <v>1</v>
      </c>
      <c r="JK25" s="180">
        <v>0.66666666666666663</v>
      </c>
      <c r="JL25" s="180">
        <v>0</v>
      </c>
      <c r="JM25" s="181">
        <v>15.500000000000004</v>
      </c>
      <c r="JN25" s="128" t="s">
        <v>80</v>
      </c>
      <c r="JO25" s="179">
        <v>3</v>
      </c>
      <c r="JP25" s="179">
        <v>7</v>
      </c>
      <c r="JQ25" s="179">
        <v>0</v>
      </c>
      <c r="JR25" s="179">
        <v>1</v>
      </c>
      <c r="JS25" s="179">
        <v>3</v>
      </c>
      <c r="JT25" s="179">
        <v>8</v>
      </c>
      <c r="JU25" s="179">
        <v>0</v>
      </c>
      <c r="JV25" s="179">
        <v>0</v>
      </c>
      <c r="JW25" s="179">
        <v>6</v>
      </c>
      <c r="JX25" s="179">
        <v>7</v>
      </c>
      <c r="JY25" s="179">
        <v>0</v>
      </c>
      <c r="JZ25" s="179">
        <v>1</v>
      </c>
      <c r="KA25" s="179">
        <v>0</v>
      </c>
      <c r="KB25" s="179">
        <v>4</v>
      </c>
      <c r="KC25" s="179">
        <v>4</v>
      </c>
      <c r="KD25" s="180">
        <v>0.375</v>
      </c>
      <c r="KE25" s="180">
        <v>0</v>
      </c>
      <c r="KF25" s="180">
        <v>0.42857142857142855</v>
      </c>
      <c r="KG25" s="180">
        <v>0</v>
      </c>
      <c r="KH25" s="181">
        <v>0.20000000000000107</v>
      </c>
      <c r="KI25" s="170"/>
      <c r="KK25" s="180"/>
      <c r="KL25" s="180"/>
      <c r="KM25" s="180"/>
      <c r="KN25" s="180"/>
      <c r="KO25" s="181"/>
      <c r="KP25" s="171"/>
      <c r="LE25" s="180"/>
      <c r="LF25" s="180"/>
      <c r="LG25" s="180"/>
      <c r="LH25" s="180"/>
      <c r="LI25" s="181"/>
    </row>
    <row r="26" spans="1:321" s="182" customFormat="1" ht="45" customHeight="1" x14ac:dyDescent="0.2">
      <c r="A26" s="128" t="s">
        <v>81</v>
      </c>
      <c r="B26" s="182">
        <v>2</v>
      </c>
      <c r="C26" s="182">
        <v>10</v>
      </c>
      <c r="D26" s="182">
        <v>0</v>
      </c>
      <c r="E26" s="182">
        <v>1</v>
      </c>
      <c r="F26" s="182">
        <v>2</v>
      </c>
      <c r="G26" s="182">
        <v>11</v>
      </c>
      <c r="H26" s="182">
        <v>0</v>
      </c>
      <c r="I26" s="182">
        <v>1</v>
      </c>
      <c r="J26" s="182">
        <v>4</v>
      </c>
      <c r="K26" s="182">
        <v>12</v>
      </c>
      <c r="L26" s="182">
        <v>1</v>
      </c>
      <c r="M26" s="182">
        <v>0</v>
      </c>
      <c r="N26" s="182">
        <v>0</v>
      </c>
      <c r="O26" s="182">
        <v>6</v>
      </c>
      <c r="P26" s="182">
        <v>1</v>
      </c>
      <c r="Q26" s="183">
        <v>0.18181818181818182</v>
      </c>
      <c r="R26" s="183">
        <v>0</v>
      </c>
      <c r="S26" s="183">
        <v>0.2</v>
      </c>
      <c r="T26" s="183">
        <v>0</v>
      </c>
      <c r="U26" s="184">
        <v>-2.9999999999999996</v>
      </c>
      <c r="V26" s="128" t="s">
        <v>81</v>
      </c>
      <c r="W26" s="182">
        <v>5</v>
      </c>
      <c r="X26" s="182">
        <v>8</v>
      </c>
      <c r="Y26" s="182">
        <v>0</v>
      </c>
      <c r="Z26" s="182">
        <v>0</v>
      </c>
      <c r="AA26" s="182">
        <v>5</v>
      </c>
      <c r="AB26" s="182">
        <v>8</v>
      </c>
      <c r="AC26" s="182">
        <v>1</v>
      </c>
      <c r="AD26" s="182">
        <v>2</v>
      </c>
      <c r="AE26" s="182">
        <v>11</v>
      </c>
      <c r="AF26" s="182">
        <v>14</v>
      </c>
      <c r="AG26" s="182">
        <v>2</v>
      </c>
      <c r="AH26" s="182">
        <v>0</v>
      </c>
      <c r="AI26" s="182">
        <v>1</v>
      </c>
      <c r="AJ26" s="182">
        <v>1</v>
      </c>
      <c r="AK26" s="182">
        <v>1</v>
      </c>
      <c r="AL26" s="183">
        <v>0.625</v>
      </c>
      <c r="AM26" s="183">
        <v>0.5</v>
      </c>
      <c r="AN26" s="183">
        <v>0.625</v>
      </c>
      <c r="AO26" s="183">
        <v>0</v>
      </c>
      <c r="AP26" s="184">
        <v>14.999999999999998</v>
      </c>
      <c r="AQ26" s="128" t="s">
        <v>81</v>
      </c>
      <c r="AR26" s="182">
        <v>3</v>
      </c>
      <c r="AS26" s="182">
        <v>10</v>
      </c>
      <c r="AT26" s="182">
        <v>0</v>
      </c>
      <c r="AU26" s="182">
        <v>1</v>
      </c>
      <c r="AV26" s="182">
        <v>3</v>
      </c>
      <c r="AW26" s="182">
        <v>11</v>
      </c>
      <c r="AX26" s="182">
        <v>0</v>
      </c>
      <c r="AY26" s="182">
        <v>0</v>
      </c>
      <c r="AZ26" s="182">
        <v>6</v>
      </c>
      <c r="BA26" s="182">
        <v>10</v>
      </c>
      <c r="BB26" s="182">
        <v>1</v>
      </c>
      <c r="BC26" s="182">
        <v>0</v>
      </c>
      <c r="BD26" s="182">
        <v>1</v>
      </c>
      <c r="BE26" s="182">
        <v>1</v>
      </c>
      <c r="BF26" s="182">
        <v>4</v>
      </c>
      <c r="BG26" s="183">
        <v>0.27272727272727271</v>
      </c>
      <c r="BH26" s="183">
        <v>0</v>
      </c>
      <c r="BI26" s="183">
        <v>0.3</v>
      </c>
      <c r="BJ26" s="183">
        <v>0</v>
      </c>
      <c r="BK26" s="184">
        <v>3.6000000000000014</v>
      </c>
      <c r="BL26" s="128" t="s">
        <v>81</v>
      </c>
      <c r="BM26" s="182">
        <v>6</v>
      </c>
      <c r="BN26" s="182">
        <v>11</v>
      </c>
      <c r="BO26" s="182">
        <v>0</v>
      </c>
      <c r="BP26" s="182">
        <v>0</v>
      </c>
      <c r="BQ26" s="182">
        <v>6</v>
      </c>
      <c r="BR26" s="182">
        <v>11</v>
      </c>
      <c r="BS26" s="182">
        <v>0</v>
      </c>
      <c r="BT26" s="182">
        <v>0</v>
      </c>
      <c r="BU26" s="182">
        <v>12</v>
      </c>
      <c r="BV26" s="182">
        <v>16</v>
      </c>
      <c r="BW26" s="182">
        <v>1</v>
      </c>
      <c r="BX26" s="182">
        <v>0</v>
      </c>
      <c r="BY26" s="182">
        <v>0</v>
      </c>
      <c r="BZ26" s="182">
        <v>3</v>
      </c>
      <c r="CA26" s="182">
        <v>3</v>
      </c>
      <c r="CB26" s="183">
        <v>0.54545454545454541</v>
      </c>
      <c r="CC26" s="183">
        <v>0</v>
      </c>
      <c r="CD26" s="183">
        <v>0.54545454545454541</v>
      </c>
      <c r="CE26" s="183">
        <v>0</v>
      </c>
      <c r="CF26" s="184">
        <v>11.2</v>
      </c>
      <c r="CG26" s="128" t="s">
        <v>81</v>
      </c>
      <c r="CH26" s="182">
        <v>3</v>
      </c>
      <c r="CI26" s="182">
        <v>10</v>
      </c>
      <c r="CJ26" s="182">
        <v>0</v>
      </c>
      <c r="CK26" s="182">
        <v>1</v>
      </c>
      <c r="CL26" s="182">
        <v>3</v>
      </c>
      <c r="CM26" s="182">
        <v>11</v>
      </c>
      <c r="CN26" s="182">
        <v>1</v>
      </c>
      <c r="CO26" s="182">
        <v>2</v>
      </c>
      <c r="CP26" s="182">
        <v>7</v>
      </c>
      <c r="CQ26" s="182">
        <v>25</v>
      </c>
      <c r="CR26" s="182">
        <v>1</v>
      </c>
      <c r="CS26" s="182">
        <v>0</v>
      </c>
      <c r="CT26" s="182">
        <v>1</v>
      </c>
      <c r="CU26" s="182">
        <v>3</v>
      </c>
      <c r="CV26" s="182">
        <v>1</v>
      </c>
      <c r="CW26" s="183">
        <v>0.27272727272727271</v>
      </c>
      <c r="CX26" s="183">
        <v>0.5</v>
      </c>
      <c r="CY26" s="183">
        <v>0.3</v>
      </c>
      <c r="CZ26" s="183">
        <v>0</v>
      </c>
      <c r="DA26" s="184">
        <v>10.899999999999999</v>
      </c>
      <c r="DB26" s="128" t="s">
        <v>81</v>
      </c>
      <c r="DC26" s="182">
        <v>7</v>
      </c>
      <c r="DD26" s="182">
        <v>8</v>
      </c>
      <c r="DE26" s="182">
        <v>0</v>
      </c>
      <c r="DF26" s="182">
        <v>0</v>
      </c>
      <c r="DG26" s="182">
        <v>7</v>
      </c>
      <c r="DH26" s="182">
        <v>8</v>
      </c>
      <c r="DI26" s="182">
        <v>0</v>
      </c>
      <c r="DJ26" s="182">
        <v>1</v>
      </c>
      <c r="DK26" s="182">
        <v>14</v>
      </c>
      <c r="DL26" s="182">
        <v>9</v>
      </c>
      <c r="DM26" s="182">
        <v>3</v>
      </c>
      <c r="DN26" s="182">
        <v>1</v>
      </c>
      <c r="DO26" s="182">
        <v>4</v>
      </c>
      <c r="DP26" s="182">
        <v>1</v>
      </c>
      <c r="DQ26" s="182">
        <v>0</v>
      </c>
      <c r="DR26" s="183">
        <v>0.875</v>
      </c>
      <c r="DS26" s="183">
        <v>0</v>
      </c>
      <c r="DT26" s="183">
        <v>0.875</v>
      </c>
      <c r="DU26" s="183">
        <v>0</v>
      </c>
      <c r="DV26" s="184">
        <v>21.099999999999998</v>
      </c>
      <c r="DW26" s="128" t="s">
        <v>81</v>
      </c>
      <c r="DX26" s="182" t="s">
        <v>78</v>
      </c>
      <c r="DY26" s="182" t="s">
        <v>78</v>
      </c>
      <c r="DZ26" s="182" t="s">
        <v>78</v>
      </c>
      <c r="EA26" s="182" t="s">
        <v>78</v>
      </c>
      <c r="EB26" s="182" t="s">
        <v>78</v>
      </c>
      <c r="EC26" s="182" t="s">
        <v>78</v>
      </c>
      <c r="ED26" s="182" t="s">
        <v>78</v>
      </c>
      <c r="EE26" s="182" t="s">
        <v>78</v>
      </c>
      <c r="EF26" s="182" t="s">
        <v>78</v>
      </c>
      <c r="EG26" s="182" t="s">
        <v>78</v>
      </c>
      <c r="EH26" s="182" t="s">
        <v>78</v>
      </c>
      <c r="EI26" s="182" t="s">
        <v>78</v>
      </c>
      <c r="EJ26" s="182" t="s">
        <v>78</v>
      </c>
      <c r="EK26" s="182" t="s">
        <v>78</v>
      </c>
      <c r="EL26" s="182" t="s">
        <v>78</v>
      </c>
      <c r="EM26" s="182" t="s">
        <v>78</v>
      </c>
      <c r="EN26" s="182" t="s">
        <v>78</v>
      </c>
      <c r="EO26" s="182" t="s">
        <v>78</v>
      </c>
      <c r="EP26" s="182" t="s">
        <v>78</v>
      </c>
      <c r="EQ26" s="182" t="s">
        <v>78</v>
      </c>
      <c r="ER26" s="128" t="s">
        <v>81</v>
      </c>
      <c r="ES26" s="182" t="s">
        <v>78</v>
      </c>
      <c r="ET26" s="182" t="s">
        <v>78</v>
      </c>
      <c r="EU26" s="182" t="s">
        <v>78</v>
      </c>
      <c r="EV26" s="182" t="s">
        <v>78</v>
      </c>
      <c r="EW26" s="182" t="s">
        <v>78</v>
      </c>
      <c r="EX26" s="182" t="s">
        <v>78</v>
      </c>
      <c r="EY26" s="182" t="s">
        <v>78</v>
      </c>
      <c r="EZ26" s="182" t="s">
        <v>78</v>
      </c>
      <c r="FA26" s="182" t="s">
        <v>78</v>
      </c>
      <c r="FB26" s="182" t="s">
        <v>78</v>
      </c>
      <c r="FC26" s="182" t="s">
        <v>78</v>
      </c>
      <c r="FD26" s="182" t="s">
        <v>78</v>
      </c>
      <c r="FE26" s="182" t="s">
        <v>78</v>
      </c>
      <c r="FF26" s="182" t="s">
        <v>78</v>
      </c>
      <c r="FG26" s="182" t="s">
        <v>78</v>
      </c>
      <c r="FH26" s="182" t="s">
        <v>78</v>
      </c>
      <c r="FI26" s="182" t="s">
        <v>78</v>
      </c>
      <c r="FJ26" s="182" t="s">
        <v>78</v>
      </c>
      <c r="FK26" s="182" t="s">
        <v>78</v>
      </c>
      <c r="FL26" s="182" t="s">
        <v>78</v>
      </c>
      <c r="FM26" s="128" t="s">
        <v>81</v>
      </c>
      <c r="FN26" s="182" t="s">
        <v>78</v>
      </c>
      <c r="FO26" s="182" t="s">
        <v>78</v>
      </c>
      <c r="FP26" s="182" t="s">
        <v>78</v>
      </c>
      <c r="FQ26" s="182" t="s">
        <v>78</v>
      </c>
      <c r="FR26" s="182" t="s">
        <v>78</v>
      </c>
      <c r="FS26" s="182" t="s">
        <v>78</v>
      </c>
      <c r="FT26" s="182" t="s">
        <v>78</v>
      </c>
      <c r="FU26" s="182" t="s">
        <v>78</v>
      </c>
      <c r="FV26" s="182" t="s">
        <v>78</v>
      </c>
      <c r="FW26" s="182" t="s">
        <v>78</v>
      </c>
      <c r="FX26" s="182" t="s">
        <v>78</v>
      </c>
      <c r="FY26" s="182" t="s">
        <v>78</v>
      </c>
      <c r="FZ26" s="182" t="s">
        <v>78</v>
      </c>
      <c r="GA26" s="182" t="s">
        <v>78</v>
      </c>
      <c r="GB26" s="182" t="s">
        <v>78</v>
      </c>
      <c r="GC26" s="182" t="s">
        <v>78</v>
      </c>
      <c r="GD26" s="182" t="s">
        <v>78</v>
      </c>
      <c r="GE26" s="182" t="s">
        <v>78</v>
      </c>
      <c r="GF26" s="182" t="s">
        <v>78</v>
      </c>
      <c r="GG26" s="182" t="s">
        <v>78</v>
      </c>
      <c r="GH26" s="128" t="s">
        <v>81</v>
      </c>
      <c r="GI26" s="182" t="s">
        <v>78</v>
      </c>
      <c r="GJ26" s="182" t="s">
        <v>78</v>
      </c>
      <c r="GK26" s="182" t="s">
        <v>78</v>
      </c>
      <c r="GL26" s="182" t="s">
        <v>78</v>
      </c>
      <c r="GM26" s="182" t="s">
        <v>78</v>
      </c>
      <c r="GN26" s="182" t="s">
        <v>78</v>
      </c>
      <c r="GO26" s="182" t="s">
        <v>78</v>
      </c>
      <c r="GP26" s="182" t="s">
        <v>78</v>
      </c>
      <c r="GQ26" s="182" t="s">
        <v>78</v>
      </c>
      <c r="GR26" s="182" t="s">
        <v>78</v>
      </c>
      <c r="GS26" s="182" t="s">
        <v>78</v>
      </c>
      <c r="GT26" s="182" t="s">
        <v>78</v>
      </c>
      <c r="GU26" s="182" t="s">
        <v>78</v>
      </c>
      <c r="GV26" s="182" t="s">
        <v>78</v>
      </c>
      <c r="GW26" s="182" t="s">
        <v>78</v>
      </c>
      <c r="GX26" s="182" t="s">
        <v>78</v>
      </c>
      <c r="GY26" s="182" t="s">
        <v>78</v>
      </c>
      <c r="GZ26" s="182" t="s">
        <v>78</v>
      </c>
      <c r="HA26" s="182" t="s">
        <v>78</v>
      </c>
      <c r="HB26" s="182" t="s">
        <v>78</v>
      </c>
      <c r="HC26" s="128" t="s">
        <v>81</v>
      </c>
      <c r="HD26" s="182">
        <v>7</v>
      </c>
      <c r="HE26" s="182">
        <v>11</v>
      </c>
      <c r="HF26" s="182">
        <v>0</v>
      </c>
      <c r="HG26" s="182">
        <v>1</v>
      </c>
      <c r="HH26" s="182">
        <v>7</v>
      </c>
      <c r="HI26" s="182">
        <v>12</v>
      </c>
      <c r="HJ26" s="182">
        <v>0</v>
      </c>
      <c r="HK26" s="182">
        <v>1</v>
      </c>
      <c r="HL26" s="182">
        <v>14</v>
      </c>
      <c r="HM26" s="182">
        <v>13</v>
      </c>
      <c r="HN26" s="182">
        <v>4</v>
      </c>
      <c r="HO26" s="182">
        <v>0</v>
      </c>
      <c r="HP26" s="182">
        <v>0</v>
      </c>
      <c r="HQ26" s="182">
        <v>1</v>
      </c>
      <c r="HR26" s="182">
        <v>0</v>
      </c>
      <c r="HS26" s="183">
        <v>0.58333333333333337</v>
      </c>
      <c r="HT26" s="183">
        <v>0</v>
      </c>
      <c r="HU26" s="183">
        <v>0.63636363636363635</v>
      </c>
      <c r="HV26" s="183">
        <v>0</v>
      </c>
      <c r="HW26" s="184">
        <v>16.3</v>
      </c>
      <c r="HX26" s="128" t="s">
        <v>81</v>
      </c>
      <c r="HY26" s="182">
        <v>1</v>
      </c>
      <c r="HZ26" s="182">
        <v>1</v>
      </c>
      <c r="IA26" s="182">
        <v>0</v>
      </c>
      <c r="IB26" s="182">
        <v>0</v>
      </c>
      <c r="IC26" s="182">
        <v>1</v>
      </c>
      <c r="ID26" s="182">
        <v>1</v>
      </c>
      <c r="IE26" s="182">
        <v>1</v>
      </c>
      <c r="IF26" s="182">
        <v>4</v>
      </c>
      <c r="IG26" s="182">
        <v>3</v>
      </c>
      <c r="IH26" s="182">
        <v>2</v>
      </c>
      <c r="II26" s="182">
        <v>0</v>
      </c>
      <c r="IJ26" s="182">
        <v>0</v>
      </c>
      <c r="IK26" s="182">
        <v>1</v>
      </c>
      <c r="IL26" s="182">
        <v>2</v>
      </c>
      <c r="IM26" s="182">
        <v>1</v>
      </c>
      <c r="IN26" s="183">
        <v>1</v>
      </c>
      <c r="IO26" s="183">
        <v>0.25</v>
      </c>
      <c r="IP26" s="183">
        <v>1</v>
      </c>
      <c r="IQ26" s="183">
        <v>0</v>
      </c>
      <c r="IR26" s="184">
        <v>1.1000000000000001</v>
      </c>
      <c r="IS26" s="128" t="s">
        <v>81</v>
      </c>
      <c r="IT26" s="182" t="s">
        <v>78</v>
      </c>
      <c r="IU26" s="182" t="s">
        <v>78</v>
      </c>
      <c r="IV26" s="182" t="s">
        <v>78</v>
      </c>
      <c r="IW26" s="182" t="s">
        <v>78</v>
      </c>
      <c r="IX26" s="182" t="s">
        <v>78</v>
      </c>
      <c r="IY26" s="182" t="s">
        <v>78</v>
      </c>
      <c r="IZ26" s="182" t="s">
        <v>78</v>
      </c>
      <c r="JA26" s="182" t="s">
        <v>78</v>
      </c>
      <c r="JB26" s="182" t="s">
        <v>78</v>
      </c>
      <c r="JC26" s="182" t="s">
        <v>78</v>
      </c>
      <c r="JD26" s="182" t="s">
        <v>78</v>
      </c>
      <c r="JE26" s="182" t="s">
        <v>78</v>
      </c>
      <c r="JF26" s="182" t="s">
        <v>78</v>
      </c>
      <c r="JG26" s="182" t="s">
        <v>78</v>
      </c>
      <c r="JH26" s="182" t="s">
        <v>78</v>
      </c>
      <c r="JI26" s="182" t="s">
        <v>78</v>
      </c>
      <c r="JJ26" s="182" t="s">
        <v>78</v>
      </c>
      <c r="JK26" s="182" t="s">
        <v>78</v>
      </c>
      <c r="JL26" s="182" t="s">
        <v>78</v>
      </c>
      <c r="JM26" s="182" t="s">
        <v>78</v>
      </c>
      <c r="JN26" s="128" t="s">
        <v>81</v>
      </c>
      <c r="JO26" s="182" t="s">
        <v>78</v>
      </c>
      <c r="JP26" s="182" t="s">
        <v>78</v>
      </c>
      <c r="JQ26" s="182" t="s">
        <v>78</v>
      </c>
      <c r="JR26" s="182" t="s">
        <v>78</v>
      </c>
      <c r="JS26" s="182" t="s">
        <v>78</v>
      </c>
      <c r="JT26" s="182" t="s">
        <v>78</v>
      </c>
      <c r="JU26" s="182" t="s">
        <v>78</v>
      </c>
      <c r="JV26" s="182" t="s">
        <v>78</v>
      </c>
      <c r="JW26" s="182" t="s">
        <v>78</v>
      </c>
      <c r="JX26" s="182" t="s">
        <v>78</v>
      </c>
      <c r="JY26" s="182" t="s">
        <v>78</v>
      </c>
      <c r="JZ26" s="182" t="s">
        <v>78</v>
      </c>
      <c r="KA26" s="182" t="s">
        <v>78</v>
      </c>
      <c r="KB26" s="182" t="s">
        <v>78</v>
      </c>
      <c r="KC26" s="182" t="s">
        <v>78</v>
      </c>
      <c r="KD26" s="182" t="s">
        <v>78</v>
      </c>
      <c r="KE26" s="182" t="s">
        <v>78</v>
      </c>
      <c r="KF26" s="182" t="s">
        <v>78</v>
      </c>
      <c r="KG26" s="182" t="s">
        <v>78</v>
      </c>
      <c r="KH26" s="182" t="s">
        <v>78</v>
      </c>
      <c r="KI26" s="170"/>
      <c r="KK26" s="183"/>
      <c r="KL26" s="183"/>
      <c r="KM26" s="183"/>
      <c r="KN26" s="183"/>
      <c r="KO26" s="184"/>
      <c r="KP26" s="171"/>
      <c r="LE26" s="183"/>
      <c r="LF26" s="183"/>
      <c r="LG26" s="183"/>
      <c r="LH26" s="183"/>
      <c r="LI26" s="184"/>
    </row>
    <row r="27" spans="1:321" s="169" customFormat="1" ht="45" customHeight="1" x14ac:dyDescent="0.2">
      <c r="A27" s="128" t="s">
        <v>31</v>
      </c>
      <c r="B27" s="169">
        <v>21</v>
      </c>
      <c r="C27" s="169">
        <v>51</v>
      </c>
      <c r="D27" s="169">
        <v>0</v>
      </c>
      <c r="E27" s="169">
        <v>14</v>
      </c>
      <c r="F27" s="169">
        <v>21</v>
      </c>
      <c r="G27" s="169">
        <v>65</v>
      </c>
      <c r="H27" s="169">
        <v>4</v>
      </c>
      <c r="I27" s="169">
        <v>9</v>
      </c>
      <c r="J27" s="169">
        <v>46</v>
      </c>
      <c r="K27" s="169">
        <v>36</v>
      </c>
      <c r="L27" s="169">
        <v>13</v>
      </c>
      <c r="M27" s="169">
        <v>2</v>
      </c>
      <c r="N27" s="169">
        <v>11</v>
      </c>
      <c r="O27" s="169">
        <v>14</v>
      </c>
      <c r="P27" s="169">
        <v>14</v>
      </c>
      <c r="Q27" s="185">
        <v>0.32307692307692309</v>
      </c>
      <c r="R27" s="185">
        <v>0.44444444444444442</v>
      </c>
      <c r="S27" s="185">
        <v>0.41176470588235292</v>
      </c>
      <c r="T27" s="185">
        <v>0</v>
      </c>
      <c r="U27" s="186">
        <v>4.4666666666666668</v>
      </c>
      <c r="V27" s="128" t="s">
        <v>31</v>
      </c>
      <c r="W27" s="169">
        <v>25</v>
      </c>
      <c r="X27" s="169">
        <v>51</v>
      </c>
      <c r="Y27" s="169">
        <v>3</v>
      </c>
      <c r="Z27" s="169">
        <v>15</v>
      </c>
      <c r="AA27" s="169">
        <v>28</v>
      </c>
      <c r="AB27" s="169">
        <v>66</v>
      </c>
      <c r="AC27" s="169">
        <v>3</v>
      </c>
      <c r="AD27" s="169">
        <v>9</v>
      </c>
      <c r="AE27" s="169">
        <v>62</v>
      </c>
      <c r="AF27" s="169">
        <v>43</v>
      </c>
      <c r="AG27" s="169">
        <v>13</v>
      </c>
      <c r="AH27" s="169">
        <v>1</v>
      </c>
      <c r="AI27" s="169">
        <v>5</v>
      </c>
      <c r="AJ27" s="169">
        <v>10</v>
      </c>
      <c r="AK27" s="169">
        <v>13</v>
      </c>
      <c r="AL27" s="185">
        <v>0.42424242424242425</v>
      </c>
      <c r="AM27" s="185">
        <v>0.33333333333333331</v>
      </c>
      <c r="AN27" s="185">
        <v>0.49019607843137253</v>
      </c>
      <c r="AO27" s="185">
        <v>0.2</v>
      </c>
      <c r="AP27" s="186">
        <v>7.6166666666666671</v>
      </c>
      <c r="AQ27" s="128" t="s">
        <v>31</v>
      </c>
      <c r="AR27" s="169">
        <v>19</v>
      </c>
      <c r="AS27" s="169">
        <v>42</v>
      </c>
      <c r="AT27" s="169">
        <v>3</v>
      </c>
      <c r="AU27" s="169">
        <v>18</v>
      </c>
      <c r="AV27" s="169">
        <v>22</v>
      </c>
      <c r="AW27" s="169">
        <v>60</v>
      </c>
      <c r="AX27" s="169">
        <v>2</v>
      </c>
      <c r="AY27" s="169">
        <v>11</v>
      </c>
      <c r="AZ27" s="169">
        <v>49</v>
      </c>
      <c r="BA27" s="169">
        <v>39</v>
      </c>
      <c r="BB27" s="169">
        <v>10</v>
      </c>
      <c r="BC27" s="169">
        <v>0</v>
      </c>
      <c r="BD27" s="169">
        <v>10</v>
      </c>
      <c r="BE27" s="169">
        <v>10</v>
      </c>
      <c r="BF27" s="169">
        <v>20</v>
      </c>
      <c r="BG27" s="185">
        <v>0.36666666666666664</v>
      </c>
      <c r="BH27" s="185">
        <v>0.18181818181818182</v>
      </c>
      <c r="BI27" s="185">
        <v>0.45238095238095238</v>
      </c>
      <c r="BJ27" s="185">
        <v>0.16666666666666666</v>
      </c>
      <c r="BK27" s="186">
        <v>5.1166666666666663</v>
      </c>
      <c r="BL27" s="128" t="s">
        <v>31</v>
      </c>
      <c r="BM27" s="169">
        <v>20</v>
      </c>
      <c r="BN27" s="169">
        <v>38</v>
      </c>
      <c r="BO27" s="169">
        <v>1</v>
      </c>
      <c r="BP27" s="169">
        <v>12</v>
      </c>
      <c r="BQ27" s="169">
        <v>21</v>
      </c>
      <c r="BR27" s="169">
        <v>50</v>
      </c>
      <c r="BS27" s="169">
        <v>8</v>
      </c>
      <c r="BT27" s="169">
        <v>15</v>
      </c>
      <c r="BU27" s="169">
        <v>51</v>
      </c>
      <c r="BV27" s="169">
        <v>38</v>
      </c>
      <c r="BW27" s="169">
        <v>12</v>
      </c>
      <c r="BX27" s="169">
        <v>1</v>
      </c>
      <c r="BY27" s="169">
        <v>10</v>
      </c>
      <c r="BZ27" s="169">
        <v>18</v>
      </c>
      <c r="CA27" s="169">
        <v>6</v>
      </c>
      <c r="CB27" s="185">
        <v>0.42</v>
      </c>
      <c r="CC27" s="185">
        <v>0.53333333333333333</v>
      </c>
      <c r="CD27" s="185">
        <v>0.52631578947368418</v>
      </c>
      <c r="CE27" s="185">
        <v>8.3333333333333329E-2</v>
      </c>
      <c r="CF27" s="186">
        <v>7.8599999999999994</v>
      </c>
      <c r="CG27" s="128" t="s">
        <v>31</v>
      </c>
      <c r="CH27" s="169">
        <v>24</v>
      </c>
      <c r="CI27" s="169">
        <v>47</v>
      </c>
      <c r="CJ27" s="169">
        <v>5</v>
      </c>
      <c r="CK27" s="169">
        <v>31</v>
      </c>
      <c r="CL27" s="169">
        <v>29</v>
      </c>
      <c r="CM27" s="169">
        <v>78</v>
      </c>
      <c r="CN27" s="169">
        <v>4</v>
      </c>
      <c r="CO27" s="169">
        <v>6</v>
      </c>
      <c r="CP27" s="169">
        <v>67</v>
      </c>
      <c r="CQ27" s="169">
        <v>47</v>
      </c>
      <c r="CR27" s="169">
        <v>21</v>
      </c>
      <c r="CS27" s="169">
        <v>3</v>
      </c>
      <c r="CT27" s="169">
        <v>11</v>
      </c>
      <c r="CU27" s="169">
        <v>13</v>
      </c>
      <c r="CV27" s="169">
        <v>3</v>
      </c>
      <c r="CW27" s="185">
        <v>0.37179487179487181</v>
      </c>
      <c r="CX27" s="185">
        <v>0.66666666666666663</v>
      </c>
      <c r="CY27" s="185">
        <v>0.51063829787234039</v>
      </c>
      <c r="CZ27" s="185">
        <v>0.16129032258064516</v>
      </c>
      <c r="DA27" s="186">
        <v>12.059999999999999</v>
      </c>
      <c r="DB27" s="128" t="s">
        <v>31</v>
      </c>
      <c r="DC27" s="169">
        <v>20</v>
      </c>
      <c r="DD27" s="169">
        <v>44</v>
      </c>
      <c r="DE27" s="169">
        <v>1</v>
      </c>
      <c r="DF27" s="169">
        <v>15</v>
      </c>
      <c r="DG27" s="169">
        <v>21</v>
      </c>
      <c r="DH27" s="169">
        <v>59</v>
      </c>
      <c r="DI27" s="169">
        <v>6</v>
      </c>
      <c r="DJ27" s="169">
        <v>13</v>
      </c>
      <c r="DK27" s="169">
        <v>49</v>
      </c>
      <c r="DL27" s="169">
        <v>41</v>
      </c>
      <c r="DM27" s="169">
        <v>11</v>
      </c>
      <c r="DN27" s="169">
        <v>2</v>
      </c>
      <c r="DO27" s="169">
        <v>10</v>
      </c>
      <c r="DP27" s="169">
        <v>11</v>
      </c>
      <c r="DQ27" s="169">
        <v>6</v>
      </c>
      <c r="DR27" s="185">
        <v>0.3559322033898305</v>
      </c>
      <c r="DS27" s="185">
        <v>0.46153846153846156</v>
      </c>
      <c r="DT27" s="185">
        <v>0.45454545454545453</v>
      </c>
      <c r="DU27" s="185">
        <v>6.6666666666666666E-2</v>
      </c>
      <c r="DV27" s="186">
        <v>7.9</v>
      </c>
      <c r="DW27" s="128" t="s">
        <v>31</v>
      </c>
      <c r="DX27" s="169">
        <v>11</v>
      </c>
      <c r="DY27" s="169">
        <v>23</v>
      </c>
      <c r="DZ27" s="169">
        <v>4</v>
      </c>
      <c r="EA27" s="169">
        <v>23</v>
      </c>
      <c r="EB27" s="169">
        <v>15</v>
      </c>
      <c r="EC27" s="169">
        <v>46</v>
      </c>
      <c r="ED27" s="169">
        <v>3</v>
      </c>
      <c r="EE27" s="169">
        <v>10</v>
      </c>
      <c r="EF27" s="169">
        <v>37</v>
      </c>
      <c r="EG27" s="169">
        <v>20</v>
      </c>
      <c r="EH27" s="169">
        <v>7</v>
      </c>
      <c r="EI27" s="169">
        <v>1</v>
      </c>
      <c r="EJ27" s="169">
        <v>0</v>
      </c>
      <c r="EK27" s="169">
        <v>8</v>
      </c>
      <c r="EL27" s="169">
        <v>15</v>
      </c>
      <c r="EM27" s="185">
        <v>0.32608695652173914</v>
      </c>
      <c r="EN27" s="185">
        <v>0.3</v>
      </c>
      <c r="EO27" s="185">
        <v>0.47826086956521741</v>
      </c>
      <c r="EP27" s="185">
        <v>0.17391304347826086</v>
      </c>
      <c r="EQ27" s="186">
        <v>1.9200000000000004</v>
      </c>
      <c r="ER27" s="128" t="s">
        <v>31</v>
      </c>
      <c r="ES27" s="169">
        <v>10</v>
      </c>
      <c r="ET27" s="169">
        <v>34</v>
      </c>
      <c r="EU27" s="169">
        <v>9</v>
      </c>
      <c r="EV27" s="169">
        <v>28</v>
      </c>
      <c r="EW27" s="169">
        <v>19</v>
      </c>
      <c r="EX27" s="169">
        <v>62</v>
      </c>
      <c r="EY27" s="169">
        <v>2</v>
      </c>
      <c r="EZ27" s="169">
        <v>7</v>
      </c>
      <c r="FA27" s="169">
        <v>49</v>
      </c>
      <c r="FB27" s="169">
        <v>32</v>
      </c>
      <c r="FC27" s="169">
        <v>14</v>
      </c>
      <c r="FD27" s="169">
        <v>0</v>
      </c>
      <c r="FE27" s="169">
        <v>10</v>
      </c>
      <c r="FF27" s="169">
        <v>10</v>
      </c>
      <c r="FG27" s="169">
        <v>8</v>
      </c>
      <c r="FH27" s="185">
        <v>0.30645161290322581</v>
      </c>
      <c r="FI27" s="185">
        <v>0.2857142857142857</v>
      </c>
      <c r="FJ27" s="185">
        <v>0.29411764705882354</v>
      </c>
      <c r="FK27" s="185">
        <v>0.32142857142857145</v>
      </c>
      <c r="FL27" s="186">
        <v>5.6333333333333337</v>
      </c>
      <c r="FM27" s="128" t="s">
        <v>31</v>
      </c>
      <c r="FN27" s="169">
        <v>17</v>
      </c>
      <c r="FO27" s="169">
        <v>48</v>
      </c>
      <c r="FP27" s="169">
        <v>3</v>
      </c>
      <c r="FQ27" s="169">
        <v>12</v>
      </c>
      <c r="FR27" s="169">
        <v>20</v>
      </c>
      <c r="FS27" s="169">
        <v>60</v>
      </c>
      <c r="FT27" s="169">
        <v>6</v>
      </c>
      <c r="FU27" s="169">
        <v>14</v>
      </c>
      <c r="FV27" s="169">
        <v>49</v>
      </c>
      <c r="FW27" s="169">
        <v>34</v>
      </c>
      <c r="FX27" s="169">
        <v>13</v>
      </c>
      <c r="FY27" s="169">
        <v>3</v>
      </c>
      <c r="FZ27" s="169">
        <v>13</v>
      </c>
      <c r="GA27" s="169">
        <v>12</v>
      </c>
      <c r="GB27" s="169">
        <v>11</v>
      </c>
      <c r="GC27" s="185">
        <v>0.33333333333333331</v>
      </c>
      <c r="GD27" s="185">
        <v>0.42857142857142855</v>
      </c>
      <c r="GE27" s="185">
        <v>0.35416666666666669</v>
      </c>
      <c r="GF27" s="185">
        <v>0.25</v>
      </c>
      <c r="GG27" s="186">
        <v>7.3199999999999985</v>
      </c>
      <c r="GH27" s="128" t="s">
        <v>31</v>
      </c>
      <c r="GI27" s="169">
        <v>32</v>
      </c>
      <c r="GJ27" s="169">
        <v>55</v>
      </c>
      <c r="GK27" s="169">
        <v>6</v>
      </c>
      <c r="GL27" s="169">
        <v>26</v>
      </c>
      <c r="GM27" s="169">
        <v>38</v>
      </c>
      <c r="GN27" s="169">
        <v>81</v>
      </c>
      <c r="GO27" s="169">
        <v>0</v>
      </c>
      <c r="GP27" s="169">
        <v>8</v>
      </c>
      <c r="GQ27" s="169">
        <v>82</v>
      </c>
      <c r="GR27" s="169">
        <v>47</v>
      </c>
      <c r="GS27" s="169">
        <v>20</v>
      </c>
      <c r="GT27" s="169">
        <v>2</v>
      </c>
      <c r="GU27" s="169">
        <v>12</v>
      </c>
      <c r="GV27" s="169">
        <v>3</v>
      </c>
      <c r="GW27" s="169">
        <v>6</v>
      </c>
      <c r="GX27" s="185">
        <v>0.46913580246913578</v>
      </c>
      <c r="GY27" s="185">
        <v>0</v>
      </c>
      <c r="GZ27" s="185">
        <v>0.58181818181818179</v>
      </c>
      <c r="HA27" s="185">
        <v>0.23076923076923078</v>
      </c>
      <c r="HB27" s="186">
        <v>16.560000000000002</v>
      </c>
      <c r="HC27" s="128" t="s">
        <v>31</v>
      </c>
      <c r="HD27" s="169">
        <v>35</v>
      </c>
      <c r="HE27" s="169">
        <v>57</v>
      </c>
      <c r="HF27" s="169">
        <v>6</v>
      </c>
      <c r="HG27" s="169">
        <v>24</v>
      </c>
      <c r="HH27" s="169">
        <v>41</v>
      </c>
      <c r="HI27" s="169">
        <v>81</v>
      </c>
      <c r="HJ27" s="169">
        <v>1</v>
      </c>
      <c r="HK27" s="169">
        <v>9</v>
      </c>
      <c r="HL27" s="169">
        <v>89</v>
      </c>
      <c r="HM27" s="169">
        <v>56</v>
      </c>
      <c r="HN27" s="169">
        <v>24</v>
      </c>
      <c r="HO27" s="169">
        <v>0</v>
      </c>
      <c r="HP27" s="169">
        <v>6</v>
      </c>
      <c r="HQ27" s="169">
        <v>9</v>
      </c>
      <c r="HR27" s="169">
        <v>6</v>
      </c>
      <c r="HS27" s="185">
        <v>0.50617283950617287</v>
      </c>
      <c r="HT27" s="185">
        <v>0.1111111111111111</v>
      </c>
      <c r="HU27" s="185">
        <v>0.61403508771929827</v>
      </c>
      <c r="HV27" s="185">
        <v>0.25</v>
      </c>
      <c r="HW27" s="186">
        <v>14.149999999999999</v>
      </c>
      <c r="HX27" s="128" t="s">
        <v>31</v>
      </c>
      <c r="HY27" s="169">
        <v>20</v>
      </c>
      <c r="HZ27" s="169">
        <v>42</v>
      </c>
      <c r="IA27" s="169">
        <v>2</v>
      </c>
      <c r="IB27" s="169">
        <v>19</v>
      </c>
      <c r="IC27" s="169">
        <v>22</v>
      </c>
      <c r="ID27" s="169">
        <v>61</v>
      </c>
      <c r="IE27" s="169">
        <v>5</v>
      </c>
      <c r="IF27" s="169">
        <v>9</v>
      </c>
      <c r="IG27" s="169">
        <v>51</v>
      </c>
      <c r="IH27" s="169">
        <v>26</v>
      </c>
      <c r="II27" s="169">
        <v>10</v>
      </c>
      <c r="IJ27" s="169">
        <v>2</v>
      </c>
      <c r="IK27" s="169">
        <v>4</v>
      </c>
      <c r="IL27" s="169">
        <v>10</v>
      </c>
      <c r="IM27" s="169">
        <v>13</v>
      </c>
      <c r="IN27" s="185">
        <v>0.36065573770491804</v>
      </c>
      <c r="IO27" s="185">
        <v>0.55555555555555558</v>
      </c>
      <c r="IP27" s="185">
        <v>0.47619047619047616</v>
      </c>
      <c r="IQ27" s="185">
        <v>0.10526315789473684</v>
      </c>
      <c r="IR27" s="186">
        <v>4.2833333333333341</v>
      </c>
      <c r="IS27" s="128" t="s">
        <v>31</v>
      </c>
      <c r="IT27" s="169">
        <v>30</v>
      </c>
      <c r="IU27" s="169">
        <v>54</v>
      </c>
      <c r="IV27" s="169">
        <v>3</v>
      </c>
      <c r="IW27" s="169">
        <v>15</v>
      </c>
      <c r="IX27" s="169">
        <v>33</v>
      </c>
      <c r="IY27" s="169">
        <v>69</v>
      </c>
      <c r="IZ27" s="169">
        <v>2</v>
      </c>
      <c r="JA27" s="169">
        <v>6</v>
      </c>
      <c r="JB27" s="169">
        <v>71</v>
      </c>
      <c r="JC27" s="169">
        <v>45</v>
      </c>
      <c r="JD27" s="169">
        <v>25</v>
      </c>
      <c r="JE27" s="169">
        <v>1</v>
      </c>
      <c r="JF27" s="169">
        <v>4</v>
      </c>
      <c r="JG27" s="169">
        <v>13</v>
      </c>
      <c r="JH27" s="169">
        <v>11</v>
      </c>
      <c r="JI27" s="185">
        <v>0.47826086956521741</v>
      </c>
      <c r="JJ27" s="185">
        <v>0.33333333333333331</v>
      </c>
      <c r="JK27" s="185">
        <v>0.55555555555555558</v>
      </c>
      <c r="JL27" s="185">
        <v>0.2</v>
      </c>
      <c r="JM27" s="186">
        <v>12.320000000000002</v>
      </c>
      <c r="JN27" s="128" t="s">
        <v>31</v>
      </c>
      <c r="JO27" s="169">
        <v>5</v>
      </c>
      <c r="JP27" s="169">
        <v>25</v>
      </c>
      <c r="JQ27" s="169">
        <v>10</v>
      </c>
      <c r="JR27" s="169">
        <v>23</v>
      </c>
      <c r="JS27" s="169">
        <v>15</v>
      </c>
      <c r="JT27" s="169">
        <v>48</v>
      </c>
      <c r="JU27" s="169">
        <v>1</v>
      </c>
      <c r="JV27" s="169">
        <v>12</v>
      </c>
      <c r="JW27" s="169">
        <v>41</v>
      </c>
      <c r="JX27" s="169">
        <v>30</v>
      </c>
      <c r="JY27" s="169">
        <v>13</v>
      </c>
      <c r="JZ27" s="169">
        <v>1</v>
      </c>
      <c r="KA27" s="169">
        <v>7</v>
      </c>
      <c r="KB27" s="169">
        <v>17</v>
      </c>
      <c r="KC27" s="169">
        <v>12</v>
      </c>
      <c r="KD27" s="185">
        <v>0.3125</v>
      </c>
      <c r="KE27" s="185">
        <v>8.3333333333333329E-2</v>
      </c>
      <c r="KF27" s="185">
        <v>0.2</v>
      </c>
      <c r="KG27" s="185">
        <v>0.43478260869565216</v>
      </c>
      <c r="KH27" s="186">
        <v>3.1666666666666665</v>
      </c>
      <c r="KI27" s="128"/>
      <c r="KK27" s="185"/>
      <c r="KL27" s="185"/>
      <c r="KM27" s="185"/>
      <c r="KN27" s="185"/>
      <c r="KO27" s="186"/>
      <c r="KP27" s="128"/>
      <c r="LE27" s="185"/>
      <c r="LF27" s="185"/>
      <c r="LG27" s="185"/>
      <c r="LH27" s="185"/>
      <c r="LI27" s="186"/>
    </row>
    <row r="28" spans="1:321" s="163" customFormat="1" ht="45" customHeight="1" x14ac:dyDescent="0.2">
      <c r="A28" s="126" t="s">
        <v>82</v>
      </c>
      <c r="D28" s="164" t="s">
        <v>83</v>
      </c>
      <c r="I28" s="163" t="s">
        <v>23</v>
      </c>
      <c r="J28" s="163">
        <v>47</v>
      </c>
      <c r="V28" s="163" t="s">
        <v>84</v>
      </c>
      <c r="AA28" s="165" t="s">
        <v>85</v>
      </c>
      <c r="AD28" s="163" t="s">
        <v>23</v>
      </c>
      <c r="AE28" s="163">
        <v>46</v>
      </c>
      <c r="AQ28" s="163" t="s">
        <v>86</v>
      </c>
      <c r="AU28" s="165" t="s">
        <v>85</v>
      </c>
      <c r="AY28" s="163" t="s">
        <v>23</v>
      </c>
      <c r="AZ28" s="163">
        <v>43</v>
      </c>
      <c r="BL28" s="163" t="s">
        <v>87</v>
      </c>
      <c r="BP28" s="165" t="s">
        <v>85</v>
      </c>
      <c r="BT28" s="163" t="s">
        <v>23</v>
      </c>
      <c r="BU28" s="163">
        <v>49</v>
      </c>
      <c r="CG28" s="163" t="s">
        <v>88</v>
      </c>
      <c r="CK28" s="165" t="s">
        <v>85</v>
      </c>
      <c r="CO28" s="163" t="s">
        <v>23</v>
      </c>
      <c r="CP28" s="163">
        <v>48</v>
      </c>
      <c r="DB28" s="163" t="s">
        <v>89</v>
      </c>
      <c r="DF28" s="165" t="s">
        <v>85</v>
      </c>
      <c r="DJ28" s="163" t="s">
        <v>23</v>
      </c>
      <c r="DK28" s="163">
        <v>44</v>
      </c>
      <c r="DW28" s="163" t="s">
        <v>84</v>
      </c>
      <c r="EA28" s="164" t="s">
        <v>83</v>
      </c>
      <c r="EE28" s="163" t="s">
        <v>23</v>
      </c>
      <c r="EF28" s="163">
        <v>67</v>
      </c>
      <c r="ER28" s="163" t="s">
        <v>86</v>
      </c>
      <c r="EV28" s="164" t="s">
        <v>83</v>
      </c>
      <c r="EZ28" s="163" t="s">
        <v>23</v>
      </c>
      <c r="FA28" s="163">
        <v>56</v>
      </c>
      <c r="FM28" s="163" t="s">
        <v>87</v>
      </c>
      <c r="FQ28" s="187" t="s">
        <v>90</v>
      </c>
      <c r="FU28" s="163" t="s">
        <v>23</v>
      </c>
      <c r="FV28" s="163">
        <v>49</v>
      </c>
      <c r="GH28" s="163" t="s">
        <v>82</v>
      </c>
      <c r="GL28" s="165" t="s">
        <v>85</v>
      </c>
      <c r="GP28" s="163" t="s">
        <v>23</v>
      </c>
      <c r="GQ28" s="163">
        <v>37</v>
      </c>
      <c r="HC28" s="163" t="s">
        <v>89</v>
      </c>
      <c r="HG28" s="165" t="s">
        <v>85</v>
      </c>
      <c r="HK28" s="163" t="s">
        <v>23</v>
      </c>
      <c r="HL28" s="163">
        <v>50</v>
      </c>
      <c r="HX28" s="163" t="s">
        <v>84</v>
      </c>
      <c r="IB28" s="164" t="s">
        <v>83</v>
      </c>
      <c r="IF28" s="163" t="s">
        <v>23</v>
      </c>
      <c r="IG28" s="163">
        <v>88</v>
      </c>
      <c r="IS28" s="163" t="s">
        <v>88</v>
      </c>
      <c r="IV28" s="165" t="s">
        <v>85</v>
      </c>
      <c r="JA28" s="163" t="s">
        <v>23</v>
      </c>
      <c r="JB28" s="163">
        <v>68</v>
      </c>
      <c r="JN28" s="163" t="s">
        <v>86</v>
      </c>
      <c r="JQ28" s="164" t="s">
        <v>83</v>
      </c>
      <c r="JV28" s="163" t="s">
        <v>23</v>
      </c>
      <c r="JW28" s="163">
        <v>54</v>
      </c>
    </row>
    <row r="29" spans="1:321" ht="45" customHeight="1" x14ac:dyDescent="0.4">
      <c r="A29" s="104"/>
      <c r="B29" s="104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</row>
    <row r="30" spans="1:321" ht="45" customHeight="1" x14ac:dyDescent="0.4">
      <c r="A30" s="7" t="s">
        <v>23</v>
      </c>
      <c r="B30" s="7" t="s">
        <v>29</v>
      </c>
      <c r="C30" s="7" t="s">
        <v>26</v>
      </c>
      <c r="D30" s="7" t="s">
        <v>25</v>
      </c>
      <c r="E30" s="17" t="s">
        <v>0</v>
      </c>
      <c r="F30" s="17" t="s">
        <v>1</v>
      </c>
      <c r="G30" s="17" t="s">
        <v>2</v>
      </c>
      <c r="H30" s="17" t="s">
        <v>3</v>
      </c>
      <c r="I30" s="17" t="s">
        <v>4</v>
      </c>
      <c r="J30" s="17" t="s">
        <v>5</v>
      </c>
      <c r="K30" s="17" t="s">
        <v>6</v>
      </c>
      <c r="L30" s="17" t="s">
        <v>7</v>
      </c>
      <c r="M30" s="17" t="s">
        <v>8</v>
      </c>
      <c r="N30" s="17" t="s">
        <v>9</v>
      </c>
      <c r="O30" s="17" t="s">
        <v>10</v>
      </c>
      <c r="P30" s="17" t="s">
        <v>11</v>
      </c>
      <c r="Q30" s="17" t="s">
        <v>12</v>
      </c>
      <c r="R30" s="17" t="s">
        <v>13</v>
      </c>
      <c r="S30" s="17" t="s">
        <v>14</v>
      </c>
      <c r="T30" s="17" t="s">
        <v>15</v>
      </c>
      <c r="U30" s="17" t="s">
        <v>16</v>
      </c>
      <c r="V30" s="17" t="s">
        <v>17</v>
      </c>
      <c r="W30" s="17" t="s">
        <v>18</v>
      </c>
      <c r="X30" s="17" t="s">
        <v>19</v>
      </c>
      <c r="Y30" s="17" t="s">
        <v>20</v>
      </c>
      <c r="Z30" s="17" t="s">
        <v>21</v>
      </c>
      <c r="AA30" s="17" t="s">
        <v>32</v>
      </c>
      <c r="AB30" s="118"/>
    </row>
    <row r="31" spans="1:321" ht="45" customHeight="1" x14ac:dyDescent="0.4">
      <c r="A31" s="96"/>
      <c r="B31" s="96">
        <v>8</v>
      </c>
      <c r="C31" s="96">
        <v>15</v>
      </c>
      <c r="D31" s="72" t="s">
        <v>40</v>
      </c>
      <c r="E31" s="77">
        <v>0</v>
      </c>
      <c r="F31" s="77">
        <v>0</v>
      </c>
      <c r="G31" s="77">
        <v>0</v>
      </c>
      <c r="H31" s="77">
        <v>0</v>
      </c>
      <c r="I31" s="77">
        <v>0</v>
      </c>
      <c r="J31" s="77">
        <v>0</v>
      </c>
      <c r="K31" s="77">
        <v>0</v>
      </c>
      <c r="L31" s="77">
        <v>0</v>
      </c>
      <c r="M31" s="77">
        <v>0</v>
      </c>
      <c r="N31" s="77">
        <v>0</v>
      </c>
      <c r="O31" s="77">
        <v>0</v>
      </c>
      <c r="P31" s="77">
        <v>0</v>
      </c>
      <c r="Q31" s="77">
        <v>0</v>
      </c>
      <c r="R31" s="77">
        <v>0</v>
      </c>
      <c r="S31" s="77">
        <v>0</v>
      </c>
      <c r="T31" s="77">
        <v>0</v>
      </c>
      <c r="U31" s="77">
        <v>0</v>
      </c>
      <c r="V31" s="78">
        <f>IFERROR(I31/J31,0)</f>
        <v>0</v>
      </c>
      <c r="W31" s="78">
        <f>IFERROR(K31/L31,0)</f>
        <v>0</v>
      </c>
      <c r="X31" s="78">
        <f>IFERROR(E31/F31,0)</f>
        <v>0</v>
      </c>
      <c r="Y31" s="78">
        <f>IFERROR(G31/H31,0)</f>
        <v>0</v>
      </c>
      <c r="Z31" s="79">
        <f>(O31)+(0.4*I31)-(0.7*J31)-(0.4*(L31-K31))+(0.7*M31)+(0.3*N31)+S31+(0.7*Q31)+(0.7*R31)-(0.4*U31)-T31</f>
        <v>0</v>
      </c>
      <c r="AA31" s="98"/>
      <c r="AB31" s="104"/>
      <c r="AC31" s="104"/>
      <c r="AD31" s="104"/>
      <c r="AE31" s="104"/>
      <c r="AF31" s="104"/>
      <c r="AG31" s="104"/>
      <c r="AH31" s="104"/>
      <c r="AI31" s="104"/>
      <c r="AJ31" s="104"/>
      <c r="AK31" s="104"/>
      <c r="AL31" s="104"/>
      <c r="AM31" s="104"/>
      <c r="AN31" s="104"/>
      <c r="AO31" s="104"/>
      <c r="AP31" s="104"/>
      <c r="AQ31" s="104"/>
      <c r="AR31" s="104"/>
      <c r="AS31" s="104"/>
      <c r="AT31" s="104"/>
      <c r="AU31" s="104"/>
    </row>
    <row r="32" spans="1:321" ht="45" customHeight="1" x14ac:dyDescent="0.4">
      <c r="A32" s="96">
        <f>A31</f>
        <v>0</v>
      </c>
      <c r="B32" s="96">
        <f>B31</f>
        <v>8</v>
      </c>
      <c r="C32" s="96">
        <f>C31</f>
        <v>15</v>
      </c>
      <c r="D32" s="72" t="s">
        <v>41</v>
      </c>
      <c r="E32" s="80">
        <v>0</v>
      </c>
      <c r="F32" s="80">
        <v>0</v>
      </c>
      <c r="G32" s="80">
        <v>0</v>
      </c>
      <c r="H32" s="80">
        <v>0</v>
      </c>
      <c r="I32" s="80">
        <v>0</v>
      </c>
      <c r="J32" s="80">
        <v>0</v>
      </c>
      <c r="K32" s="80">
        <v>0</v>
      </c>
      <c r="L32" s="80">
        <v>0</v>
      </c>
      <c r="M32" s="80">
        <v>0</v>
      </c>
      <c r="N32" s="80">
        <v>0</v>
      </c>
      <c r="O32" s="80">
        <v>0</v>
      </c>
      <c r="P32" s="80">
        <v>0</v>
      </c>
      <c r="Q32" s="80">
        <v>0</v>
      </c>
      <c r="R32" s="80">
        <v>0</v>
      </c>
      <c r="S32" s="80">
        <v>0</v>
      </c>
      <c r="T32" s="80">
        <v>0</v>
      </c>
      <c r="U32" s="80">
        <v>0</v>
      </c>
      <c r="V32" s="81">
        <f t="shared" ref="V32:V36" si="7">IFERROR(I32/J32,0)</f>
        <v>0</v>
      </c>
      <c r="W32" s="81">
        <f t="shared" ref="W32:W36" si="8">IFERROR(K32/L32,0)</f>
        <v>0</v>
      </c>
      <c r="X32" s="81">
        <f t="shared" ref="X32:X36" si="9">IFERROR(E32/F32,0)</f>
        <v>0</v>
      </c>
      <c r="Y32" s="81">
        <f t="shared" ref="Y32:Y36" si="10">IFERROR(G32/H32,0)</f>
        <v>0</v>
      </c>
      <c r="Z32" s="82">
        <f t="shared" ref="Z32:Z36" si="11">(O32)+(0.4*I32)-(0.7*J32)-(0.4*(L32-K32))+(0.7*M32)+(0.3*N32)+S32+(0.7*Q32)+(0.7*R32)-(0.4*U32)-T32</f>
        <v>0</v>
      </c>
      <c r="AA32" s="101">
        <f>AA31</f>
        <v>0</v>
      </c>
      <c r="AB32" s="104"/>
      <c r="AC32" s="105"/>
      <c r="AD32" s="105"/>
      <c r="AE32" s="105"/>
      <c r="AF32" s="105"/>
      <c r="AG32" s="105"/>
      <c r="AH32" s="105"/>
      <c r="AI32" s="105"/>
      <c r="AJ32" s="105"/>
      <c r="AK32" s="105"/>
      <c r="AL32" s="105"/>
      <c r="AM32" s="105"/>
      <c r="AN32" s="105"/>
      <c r="AO32" s="105"/>
      <c r="AP32" s="105"/>
      <c r="AQ32" s="105"/>
      <c r="AR32" s="105"/>
      <c r="AS32" s="105"/>
      <c r="AT32" s="106"/>
      <c r="AU32" s="106"/>
    </row>
    <row r="33" spans="1:47" ht="45" customHeight="1" x14ac:dyDescent="0.4">
      <c r="A33" s="96">
        <f t="shared" ref="A33:A37" si="12">A32</f>
        <v>0</v>
      </c>
      <c r="B33" s="96">
        <f t="shared" ref="B33:B37" si="13">B32</f>
        <v>8</v>
      </c>
      <c r="C33" s="96">
        <f t="shared" ref="C33:C37" si="14">C32</f>
        <v>15</v>
      </c>
      <c r="D33" s="72" t="s">
        <v>42</v>
      </c>
      <c r="E33" s="83">
        <v>0</v>
      </c>
      <c r="F33" s="83">
        <v>0</v>
      </c>
      <c r="G33" s="83">
        <v>0</v>
      </c>
      <c r="H33" s="83">
        <v>0</v>
      </c>
      <c r="I33" s="83">
        <v>0</v>
      </c>
      <c r="J33" s="83">
        <v>0</v>
      </c>
      <c r="K33" s="83">
        <v>0</v>
      </c>
      <c r="L33" s="83">
        <v>0</v>
      </c>
      <c r="M33" s="83">
        <v>0</v>
      </c>
      <c r="N33" s="83">
        <v>0</v>
      </c>
      <c r="O33" s="83">
        <v>0</v>
      </c>
      <c r="P33" s="83">
        <v>0</v>
      </c>
      <c r="Q33" s="83">
        <v>0</v>
      </c>
      <c r="R33" s="83">
        <v>0</v>
      </c>
      <c r="S33" s="83">
        <v>0</v>
      </c>
      <c r="T33" s="83">
        <v>0</v>
      </c>
      <c r="U33" s="83">
        <v>0</v>
      </c>
      <c r="V33" s="84">
        <f t="shared" si="7"/>
        <v>0</v>
      </c>
      <c r="W33" s="84">
        <f t="shared" si="8"/>
        <v>0</v>
      </c>
      <c r="X33" s="84">
        <f t="shared" si="9"/>
        <v>0</v>
      </c>
      <c r="Y33" s="84">
        <f t="shared" si="10"/>
        <v>0</v>
      </c>
      <c r="Z33" s="85">
        <f t="shared" si="11"/>
        <v>0</v>
      </c>
      <c r="AA33" s="101">
        <f t="shared" ref="AA33:AA37" si="15">AA32</f>
        <v>0</v>
      </c>
      <c r="AB33" s="104"/>
      <c r="AC33" s="105"/>
      <c r="AD33" s="105"/>
      <c r="AE33" s="105"/>
      <c r="AF33" s="105"/>
      <c r="AG33" s="105"/>
      <c r="AH33" s="105"/>
      <c r="AI33" s="105"/>
      <c r="AJ33" s="105"/>
      <c r="AK33" s="105"/>
      <c r="AL33" s="105"/>
      <c r="AM33" s="105"/>
      <c r="AN33" s="105"/>
      <c r="AO33" s="105"/>
      <c r="AP33" s="105"/>
      <c r="AQ33" s="105"/>
      <c r="AR33" s="105"/>
      <c r="AS33" s="105"/>
      <c r="AT33" s="106"/>
      <c r="AU33" s="106"/>
    </row>
    <row r="34" spans="1:47" ht="45" customHeight="1" x14ac:dyDescent="0.4">
      <c r="A34" s="96">
        <f t="shared" si="12"/>
        <v>0</v>
      </c>
      <c r="B34" s="96">
        <f t="shared" si="13"/>
        <v>8</v>
      </c>
      <c r="C34" s="96">
        <f t="shared" si="14"/>
        <v>15</v>
      </c>
      <c r="D34" s="72" t="s">
        <v>43</v>
      </c>
      <c r="E34" s="86">
        <v>0</v>
      </c>
      <c r="F34" s="86">
        <v>0</v>
      </c>
      <c r="G34" s="86">
        <v>0</v>
      </c>
      <c r="H34" s="86">
        <v>0</v>
      </c>
      <c r="I34" s="86">
        <v>0</v>
      </c>
      <c r="J34" s="86">
        <v>0</v>
      </c>
      <c r="K34" s="86">
        <v>0</v>
      </c>
      <c r="L34" s="86">
        <v>0</v>
      </c>
      <c r="M34" s="86">
        <v>0</v>
      </c>
      <c r="N34" s="86">
        <v>0</v>
      </c>
      <c r="O34" s="86">
        <v>0</v>
      </c>
      <c r="P34" s="86">
        <v>0</v>
      </c>
      <c r="Q34" s="86">
        <v>0</v>
      </c>
      <c r="R34" s="86">
        <v>0</v>
      </c>
      <c r="S34" s="86">
        <v>0</v>
      </c>
      <c r="T34" s="86">
        <v>0</v>
      </c>
      <c r="U34" s="86">
        <v>0</v>
      </c>
      <c r="V34" s="87">
        <f t="shared" si="7"/>
        <v>0</v>
      </c>
      <c r="W34" s="87">
        <f t="shared" si="8"/>
        <v>0</v>
      </c>
      <c r="X34" s="87">
        <f t="shared" si="9"/>
        <v>0</v>
      </c>
      <c r="Y34" s="87">
        <f t="shared" si="10"/>
        <v>0</v>
      </c>
      <c r="Z34" s="88">
        <f t="shared" si="11"/>
        <v>0</v>
      </c>
      <c r="AA34" s="101">
        <f t="shared" si="15"/>
        <v>0</v>
      </c>
    </row>
    <row r="35" spans="1:47" ht="45" customHeight="1" x14ac:dyDescent="0.4">
      <c r="A35" s="96">
        <f t="shared" si="12"/>
        <v>0</v>
      </c>
      <c r="B35" s="96">
        <f t="shared" si="13"/>
        <v>8</v>
      </c>
      <c r="C35" s="96">
        <f t="shared" si="14"/>
        <v>15</v>
      </c>
      <c r="D35" s="72" t="s">
        <v>44</v>
      </c>
      <c r="E35" s="89">
        <v>0</v>
      </c>
      <c r="F35" s="89">
        <v>0</v>
      </c>
      <c r="G35" s="89">
        <v>0</v>
      </c>
      <c r="H35" s="89">
        <v>0</v>
      </c>
      <c r="I35" s="89">
        <v>0</v>
      </c>
      <c r="J35" s="89">
        <v>0</v>
      </c>
      <c r="K35" s="89">
        <v>0</v>
      </c>
      <c r="L35" s="89">
        <v>0</v>
      </c>
      <c r="M35" s="89">
        <v>0</v>
      </c>
      <c r="N35" s="89">
        <v>0</v>
      </c>
      <c r="O35" s="89">
        <v>0</v>
      </c>
      <c r="P35" s="89">
        <v>0</v>
      </c>
      <c r="Q35" s="89">
        <v>0</v>
      </c>
      <c r="R35" s="89">
        <v>0</v>
      </c>
      <c r="S35" s="89">
        <v>0</v>
      </c>
      <c r="T35" s="89">
        <v>0</v>
      </c>
      <c r="U35" s="89">
        <v>0</v>
      </c>
      <c r="V35" s="90">
        <f t="shared" si="7"/>
        <v>0</v>
      </c>
      <c r="W35" s="90">
        <f t="shared" si="8"/>
        <v>0</v>
      </c>
      <c r="X35" s="90">
        <f t="shared" si="9"/>
        <v>0</v>
      </c>
      <c r="Y35" s="90">
        <f t="shared" si="10"/>
        <v>0</v>
      </c>
      <c r="Z35" s="91">
        <f t="shared" si="11"/>
        <v>0</v>
      </c>
      <c r="AA35" s="101">
        <f t="shared" si="15"/>
        <v>0</v>
      </c>
    </row>
    <row r="36" spans="1:47" ht="45" customHeight="1" x14ac:dyDescent="0.4">
      <c r="A36" s="96">
        <f t="shared" si="12"/>
        <v>0</v>
      </c>
      <c r="B36" s="96">
        <f t="shared" si="13"/>
        <v>8</v>
      </c>
      <c r="C36" s="96">
        <f t="shared" si="14"/>
        <v>15</v>
      </c>
      <c r="D36" s="72" t="s">
        <v>31</v>
      </c>
      <c r="E36" s="76">
        <v>0</v>
      </c>
      <c r="F36" s="76">
        <v>0</v>
      </c>
      <c r="G36" s="76">
        <v>0</v>
      </c>
      <c r="H36" s="76">
        <v>0</v>
      </c>
      <c r="I36" s="76">
        <v>0</v>
      </c>
      <c r="J36" s="76">
        <v>0</v>
      </c>
      <c r="K36" s="76">
        <v>0</v>
      </c>
      <c r="L36" s="76">
        <v>0</v>
      </c>
      <c r="M36" s="76">
        <v>0</v>
      </c>
      <c r="N36" s="76">
        <v>0</v>
      </c>
      <c r="O36" s="76">
        <v>0</v>
      </c>
      <c r="P36" s="76">
        <v>0</v>
      </c>
      <c r="Q36" s="76">
        <v>0</v>
      </c>
      <c r="R36" s="76">
        <v>0</v>
      </c>
      <c r="S36" s="76">
        <v>0</v>
      </c>
      <c r="T36" s="76">
        <v>0</v>
      </c>
      <c r="U36" s="76">
        <v>0</v>
      </c>
      <c r="V36" s="92">
        <f t="shared" si="7"/>
        <v>0</v>
      </c>
      <c r="W36" s="92">
        <f t="shared" si="8"/>
        <v>0</v>
      </c>
      <c r="X36" s="92">
        <f t="shared" si="9"/>
        <v>0</v>
      </c>
      <c r="Y36" s="92">
        <f t="shared" si="10"/>
        <v>0</v>
      </c>
      <c r="Z36" s="93">
        <f t="shared" si="11"/>
        <v>0</v>
      </c>
      <c r="AA36" s="101">
        <f t="shared" si="15"/>
        <v>0</v>
      </c>
    </row>
    <row r="37" spans="1:47" ht="45" customHeight="1" x14ac:dyDescent="0.4">
      <c r="A37" s="96">
        <f t="shared" si="12"/>
        <v>0</v>
      </c>
      <c r="B37" s="96">
        <f t="shared" si="13"/>
        <v>8</v>
      </c>
      <c r="C37" s="96">
        <f t="shared" si="14"/>
        <v>15</v>
      </c>
      <c r="D37" s="94"/>
      <c r="E37" s="94"/>
      <c r="F37" s="94"/>
      <c r="G37" s="94"/>
      <c r="H37" s="94"/>
      <c r="I37" s="94"/>
      <c r="J37" s="94"/>
      <c r="K37" s="94"/>
      <c r="L37" s="94"/>
      <c r="M37" s="94"/>
      <c r="N37" s="94"/>
      <c r="O37" s="94"/>
      <c r="P37" s="94"/>
      <c r="Q37" s="94"/>
      <c r="R37" s="94"/>
      <c r="S37" s="94"/>
      <c r="T37" s="94"/>
      <c r="U37" s="94"/>
      <c r="V37" s="94"/>
      <c r="W37" s="94"/>
      <c r="X37" s="94"/>
      <c r="Y37" s="94"/>
      <c r="Z37" s="94"/>
      <c r="AA37" s="101">
        <f t="shared" si="15"/>
        <v>0</v>
      </c>
    </row>
    <row r="38" spans="1:47" ht="45" customHeight="1" x14ac:dyDescent="0.4">
      <c r="A38" s="122"/>
    </row>
    <row r="39" spans="1:47" ht="45" customHeight="1" x14ac:dyDescent="0.4">
      <c r="A39" s="123"/>
      <c r="B39" s="104"/>
      <c r="C39" s="104"/>
      <c r="D39" s="104"/>
      <c r="E39" s="104"/>
      <c r="F39" s="104"/>
      <c r="G39" s="104"/>
      <c r="H39" s="104"/>
      <c r="I39" s="104"/>
      <c r="J39" s="104"/>
      <c r="K39" s="104"/>
      <c r="L39" s="104"/>
      <c r="M39" s="104"/>
      <c r="N39" s="104"/>
      <c r="O39" s="104"/>
      <c r="P39" s="104"/>
      <c r="Q39" s="104"/>
      <c r="R39" s="104"/>
    </row>
    <row r="40" spans="1:47" ht="45" customHeight="1" x14ac:dyDescent="0.4">
      <c r="A40" s="104"/>
      <c r="B40" s="107"/>
      <c r="C40" s="107"/>
      <c r="D40" s="107"/>
      <c r="E40" s="107"/>
      <c r="F40" s="107"/>
      <c r="G40" s="107"/>
      <c r="H40" s="107"/>
      <c r="I40" s="107"/>
      <c r="J40" s="107"/>
      <c r="K40" s="107"/>
      <c r="L40" s="107"/>
      <c r="M40" s="107"/>
      <c r="N40" s="107"/>
      <c r="O40" s="107"/>
      <c r="P40" s="107"/>
      <c r="Q40" s="107"/>
      <c r="R40" s="107"/>
    </row>
    <row r="41" spans="1:47" ht="45" customHeight="1" x14ac:dyDescent="0.4">
      <c r="A41" s="104"/>
      <c r="B41" s="107"/>
      <c r="C41" s="107"/>
      <c r="D41" s="107"/>
      <c r="E41" s="107"/>
      <c r="F41" s="107"/>
      <c r="G41" s="107"/>
      <c r="H41" s="107"/>
      <c r="I41" s="107"/>
      <c r="J41" s="107"/>
      <c r="K41" s="107"/>
      <c r="L41" s="107"/>
      <c r="M41" s="107"/>
      <c r="N41" s="107"/>
      <c r="O41" s="107"/>
      <c r="P41" s="107"/>
      <c r="Q41" s="107"/>
      <c r="R41" s="107"/>
    </row>
    <row r="42" spans="1:47" ht="45" customHeight="1" x14ac:dyDescent="0.4">
      <c r="A42" s="104"/>
      <c r="B42" s="107"/>
      <c r="C42" s="107"/>
      <c r="D42" s="107"/>
      <c r="E42" s="107"/>
      <c r="F42" s="107"/>
      <c r="G42" s="107"/>
      <c r="H42" s="107"/>
      <c r="I42" s="107"/>
      <c r="J42" s="107"/>
      <c r="K42" s="107"/>
      <c r="L42" s="107"/>
      <c r="M42" s="107"/>
      <c r="N42" s="107"/>
      <c r="O42" s="107"/>
      <c r="P42" s="107"/>
      <c r="Q42" s="107"/>
      <c r="R42" s="107"/>
    </row>
    <row r="43" spans="1:47" ht="45" customHeight="1" x14ac:dyDescent="0.4">
      <c r="A43" s="104"/>
      <c r="B43" s="107"/>
      <c r="C43" s="107"/>
      <c r="D43" s="107"/>
      <c r="E43" s="107"/>
      <c r="F43" s="107"/>
      <c r="G43" s="107"/>
      <c r="H43" s="107"/>
      <c r="I43" s="107"/>
      <c r="J43" s="107"/>
      <c r="K43" s="107"/>
      <c r="L43" s="107"/>
      <c r="M43" s="107"/>
      <c r="N43" s="107"/>
      <c r="O43" s="107"/>
      <c r="P43" s="107"/>
      <c r="Q43" s="107"/>
      <c r="R43" s="107"/>
      <c r="S43" s="103"/>
      <c r="T43" s="103"/>
      <c r="U43" s="103"/>
      <c r="V43" s="103"/>
      <c r="W43" s="103"/>
      <c r="X43" s="103"/>
    </row>
    <row r="44" spans="1:47" ht="45" customHeight="1" x14ac:dyDescent="0.4">
      <c r="A44" s="104"/>
      <c r="B44" s="107"/>
      <c r="C44" s="107"/>
      <c r="D44" s="107"/>
      <c r="E44" s="107"/>
      <c r="F44" s="107"/>
      <c r="G44" s="107"/>
      <c r="H44" s="107"/>
      <c r="I44" s="107"/>
      <c r="J44" s="107"/>
      <c r="K44" s="107"/>
      <c r="L44" s="107"/>
      <c r="M44" s="107"/>
      <c r="N44" s="107"/>
      <c r="O44" s="107"/>
      <c r="P44" s="107"/>
      <c r="Q44" s="107"/>
      <c r="R44" s="107"/>
      <c r="Y44" s="103"/>
      <c r="Z44" s="103"/>
    </row>
    <row r="45" spans="1:47" ht="45" customHeight="1" x14ac:dyDescent="0.4">
      <c r="A45" s="104"/>
      <c r="B45" s="113"/>
      <c r="C45" s="113"/>
      <c r="D45" s="113"/>
      <c r="E45" s="113"/>
      <c r="F45" s="113"/>
      <c r="G45" s="113"/>
      <c r="H45" s="113"/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03"/>
      <c r="T45" s="103"/>
      <c r="U45" s="103"/>
      <c r="V45" s="103"/>
      <c r="W45" s="103"/>
      <c r="X45" s="103"/>
      <c r="Y45" s="103"/>
      <c r="Z45" s="103"/>
    </row>
    <row r="46" spans="1:47" ht="45" customHeight="1" x14ac:dyDescent="0.2">
      <c r="A46" s="119"/>
      <c r="B46" s="120"/>
      <c r="C46" s="120"/>
      <c r="D46" s="120"/>
      <c r="E46" s="120"/>
      <c r="F46" s="120"/>
      <c r="G46" s="120"/>
      <c r="H46" s="120"/>
      <c r="I46" s="120"/>
      <c r="J46" s="120"/>
      <c r="K46" s="120"/>
      <c r="L46" s="120"/>
      <c r="M46" s="120"/>
      <c r="N46" s="120"/>
      <c r="O46" s="120"/>
      <c r="P46" s="120"/>
      <c r="Q46" s="120"/>
      <c r="R46" s="120"/>
    </row>
    <row r="50" spans="1:20" ht="45" customHeight="1" x14ac:dyDescent="0.4">
      <c r="A50" s="122"/>
      <c r="T50" s="103"/>
    </row>
    <row r="51" spans="1:20" ht="45" customHeight="1" x14ac:dyDescent="0.4">
      <c r="A51" s="104"/>
      <c r="B51" s="104"/>
      <c r="C51" s="104"/>
      <c r="D51" s="104"/>
      <c r="E51" s="104"/>
      <c r="F51" s="104"/>
      <c r="G51" s="104"/>
      <c r="H51" s="104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</row>
    <row r="52" spans="1:20" ht="45" customHeight="1" x14ac:dyDescent="0.4">
      <c r="A52" s="104"/>
      <c r="B52" s="105"/>
      <c r="C52" s="105"/>
      <c r="D52" s="105"/>
      <c r="E52" s="105"/>
      <c r="F52" s="105"/>
      <c r="G52" s="105"/>
      <c r="H52" s="105"/>
      <c r="I52" s="105"/>
      <c r="J52" s="105"/>
      <c r="K52" s="105"/>
      <c r="L52" s="105"/>
      <c r="M52" s="105"/>
      <c r="N52" s="105"/>
      <c r="O52" s="105"/>
      <c r="P52" s="105"/>
      <c r="Q52" s="105"/>
      <c r="R52" s="105"/>
      <c r="S52" s="107"/>
      <c r="T52" s="107"/>
    </row>
    <row r="53" spans="1:20" ht="45" customHeight="1" x14ac:dyDescent="0.4">
      <c r="A53" s="104"/>
      <c r="B53" s="105"/>
      <c r="C53" s="105"/>
      <c r="D53" s="105"/>
      <c r="E53" s="105"/>
      <c r="F53" s="105"/>
      <c r="G53" s="105"/>
      <c r="H53" s="105"/>
      <c r="I53" s="105"/>
      <c r="J53" s="105"/>
      <c r="K53" s="105"/>
      <c r="L53" s="105"/>
      <c r="M53" s="105"/>
      <c r="N53" s="105"/>
      <c r="O53" s="105"/>
      <c r="P53" s="105"/>
      <c r="Q53" s="105"/>
      <c r="R53" s="105"/>
      <c r="S53" s="107"/>
      <c r="T53" s="107"/>
    </row>
    <row r="54" spans="1:20" ht="45" customHeight="1" x14ac:dyDescent="0.4">
      <c r="A54" s="104"/>
      <c r="B54" s="105"/>
      <c r="C54" s="105"/>
      <c r="D54" s="105"/>
      <c r="E54" s="105"/>
      <c r="F54" s="105"/>
      <c r="G54" s="105"/>
      <c r="H54" s="105"/>
      <c r="I54" s="105"/>
      <c r="J54" s="105"/>
      <c r="K54" s="105"/>
      <c r="L54" s="105"/>
      <c r="M54" s="105"/>
      <c r="N54" s="105"/>
      <c r="O54" s="105"/>
      <c r="P54" s="105"/>
      <c r="Q54" s="105"/>
      <c r="R54" s="105"/>
      <c r="S54" s="107"/>
      <c r="T54" s="107"/>
    </row>
    <row r="55" spans="1:20" ht="45" customHeight="1" x14ac:dyDescent="0.4">
      <c r="A55" s="104"/>
      <c r="B55" s="105"/>
      <c r="C55" s="105"/>
      <c r="D55" s="105"/>
      <c r="E55" s="105"/>
      <c r="F55" s="105"/>
      <c r="G55" s="105"/>
      <c r="H55" s="105"/>
      <c r="I55" s="105"/>
      <c r="J55" s="105"/>
      <c r="K55" s="105"/>
      <c r="L55" s="105"/>
      <c r="M55" s="105"/>
      <c r="N55" s="105"/>
      <c r="O55" s="105"/>
      <c r="P55" s="105"/>
      <c r="Q55" s="105"/>
      <c r="R55" s="105"/>
      <c r="S55" s="107"/>
      <c r="T55" s="107"/>
    </row>
    <row r="56" spans="1:20" ht="45" customHeight="1" x14ac:dyDescent="0.4">
      <c r="A56" s="104"/>
      <c r="B56" s="105"/>
      <c r="C56" s="105"/>
      <c r="D56" s="105"/>
      <c r="E56" s="105"/>
      <c r="F56" s="105"/>
      <c r="G56" s="105"/>
      <c r="H56" s="105"/>
      <c r="I56" s="105"/>
      <c r="J56" s="105"/>
      <c r="K56" s="105"/>
      <c r="L56" s="105"/>
      <c r="M56" s="105"/>
      <c r="N56" s="105"/>
      <c r="O56" s="105"/>
      <c r="P56" s="105"/>
      <c r="Q56" s="105"/>
      <c r="R56" s="105"/>
      <c r="S56" s="107"/>
      <c r="T56" s="107"/>
    </row>
    <row r="57" spans="1:20" ht="45" customHeight="1" x14ac:dyDescent="0.4">
      <c r="A57" s="104"/>
      <c r="B57" s="104"/>
      <c r="C57" s="104"/>
      <c r="D57" s="104"/>
      <c r="E57" s="104"/>
      <c r="F57" s="104"/>
      <c r="G57" s="104"/>
      <c r="H57" s="104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13"/>
      <c r="T57" s="113"/>
    </row>
    <row r="58" spans="1:20" ht="45" customHeight="1" x14ac:dyDescent="0.2">
      <c r="A58" s="119"/>
      <c r="B58" s="121"/>
      <c r="C58" s="121"/>
      <c r="D58" s="121"/>
      <c r="E58" s="121"/>
      <c r="F58" s="121"/>
      <c r="G58" s="121"/>
      <c r="H58" s="121"/>
      <c r="I58" s="121"/>
      <c r="J58" s="121"/>
      <c r="K58" s="121"/>
      <c r="L58" s="121"/>
      <c r="M58" s="121"/>
      <c r="N58" s="121"/>
      <c r="O58" s="121"/>
      <c r="P58" s="121"/>
      <c r="Q58" s="121"/>
      <c r="R58" s="121"/>
      <c r="S58" s="120"/>
      <c r="T58" s="120"/>
    </row>
  </sheetData>
  <pageMargins left="0.7" right="0.7" top="0.75" bottom="0.75" header="0.3" footer="0.3"/>
  <pageSetup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GAMES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Monitto</dc:creator>
  <cp:lastModifiedBy>Daniel Monitto</cp:lastModifiedBy>
  <dcterms:created xsi:type="dcterms:W3CDTF">2024-07-20T08:49:52Z</dcterms:created>
  <dcterms:modified xsi:type="dcterms:W3CDTF">2024-08-22T07:14:05Z</dcterms:modified>
</cp:coreProperties>
</file>